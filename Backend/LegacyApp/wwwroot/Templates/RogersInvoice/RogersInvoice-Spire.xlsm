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ownloads\My Code\Backend\LegacyApp\wwwroot\Templates\RogersInvoice\"/>
    </mc:Choice>
  </mc:AlternateContent>
  <xr:revisionPtr revIDLastSave="0" documentId="11_08C59F70B26FD8979E952CF30AA32F82205AF093" xr6:coauthVersionLast="47" xr6:coauthVersionMax="47" xr10:uidLastSave="{00000000-0000-0000-0000-000000000000}"/>
  <bookViews>
    <workbookView xWindow="-110" yWindow="-110" windowWidth="19420" windowHeight="10300" tabRatio="458" xr2:uid="{00000000-000D-0000-FFFF-FFFF00000000}"/>
  </bookViews>
  <sheets>
    <sheet name="Invoice" sheetId="12" r:id="rId1"/>
    <sheet name="Details" sheetId="2" r:id="rId2"/>
    <sheet name="RIL AR" sheetId="7" r:id="rId3"/>
    <sheet name="Criteria" sheetId="11" state="hidden" r:id="rId4"/>
    <sheet name="GL Coding Chart" sheetId="9" state="hidden" r:id="rId5"/>
  </sheets>
  <definedNames>
    <definedName name="_xlnm._FilterDatabase" localSheetId="1" hidden="1">Details!$A$1:$MT$1</definedName>
    <definedName name="_xlnm._FilterDatabase" localSheetId="4" hidden="1">'GL Coding Chart'!$A$2:$H$106</definedName>
    <definedName name="_xlnm._FilterDatabase" localSheetId="0" hidden="1">Invoice!$B$5:$F$7</definedName>
    <definedName name="_xlnm._FilterDatabase" localSheetId="2" hidden="1">'RIL AR'!$A$1:$BD$1</definedName>
    <definedName name="CriteriaAcc">Criteria!$C$12:$D$13</definedName>
    <definedName name="CriteriaAcq">Criteria!$C$6:$D$7</definedName>
    <definedName name="CriteriaHUP">Criteria!$C$9:$D$10</definedName>
    <definedName name="CriteriaRDDAccAcc">Criteria!$C$58:$E$59</definedName>
    <definedName name="CriteriaRDDAccHdwOnly">Criteria!$C$73:$E$74</definedName>
    <definedName name="CriteriaRDDAccReturn">Criteria!$C$82:$E$83</definedName>
    <definedName name="CriteriaRDDAcqAcc">Criteria!$C$52:$E$53</definedName>
    <definedName name="CriteriaRDDAcqHdwOnly">Criteria!$C$67:$E$68</definedName>
    <definedName name="CriteriaRDDHUPAcc">Criteria!$C$55:$E$56</definedName>
    <definedName name="CriteriaRDDHUPHdwOnly">Criteria!$C$70:$E$71</definedName>
    <definedName name="CriteriaRDDReturnAcc">Criteria!$C$61:$E$62</definedName>
    <definedName name="CriteriaRDDReturnHdwOnly">Criteria!$C$76:$E$77</definedName>
    <definedName name="CriteriaRDSAccAcc">Criteria!$C$43:$E$44</definedName>
    <definedName name="CriteriaRDSAcqAcc">Criteria!$C$37:$E$38</definedName>
    <definedName name="CriteriaRDSHUPAcc">Criteria!$C$40:$E$41</definedName>
    <definedName name="CriteriaRDSReturnAcc">Criteria!$C$46:$E$47</definedName>
    <definedName name="CriteriaReturn">Criteria!$C$15:$D$16</definedName>
    <definedName name="CriteriaRPPAccAcc">Criteria!$C$28:$E$29</definedName>
    <definedName name="CriteriaRPPAcqAcc">Criteria!$C$22:$E$23</definedName>
    <definedName name="CriteriaRPPHUPAcc">Criteria!$C$25:$E$26</definedName>
    <definedName name="CriteriaRPPReturnAcc">Criteria!$C$31:$E$32</definedName>
    <definedName name="Details">Details!$1:$1048576</definedName>
    <definedName name="ExternalData_1" localSheetId="1">Details!$A$1:$CI$2</definedName>
    <definedName name="ExternalData_1" localSheetId="2">'RIL AR'!$A$1:$AN$2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26" i="9" l="1"/>
  <c r="F226" i="9"/>
  <c r="G225" i="9"/>
  <c r="F225" i="9"/>
  <c r="G224" i="9"/>
  <c r="F224" i="9"/>
  <c r="G223" i="9"/>
  <c r="F223" i="9"/>
  <c r="G222" i="9"/>
  <c r="F222" i="9"/>
  <c r="G221" i="9"/>
  <c r="F221" i="9"/>
  <c r="G220" i="9"/>
  <c r="F220" i="9"/>
  <c r="G219" i="9"/>
  <c r="F219" i="9"/>
  <c r="G218" i="9"/>
  <c r="F218" i="9"/>
  <c r="G217" i="9"/>
  <c r="F217" i="9"/>
  <c r="G216" i="9"/>
  <c r="F216" i="9"/>
  <c r="G215" i="9"/>
  <c r="F215" i="9"/>
  <c r="G214" i="9"/>
  <c r="F214" i="9"/>
  <c r="G213" i="9"/>
  <c r="F213" i="9"/>
  <c r="F18" i="12" l="1"/>
  <c r="E18" i="12"/>
  <c r="D18" i="12"/>
  <c r="C18" i="12"/>
  <c r="F17" i="12"/>
  <c r="E17" i="12"/>
  <c r="D17" i="12"/>
  <c r="C17" i="12"/>
  <c r="C39" i="12" l="1" a="1"/>
  <c r="C39" i="12" s="1"/>
  <c r="C38" i="12" a="1"/>
  <c r="C38" i="12" s="1"/>
  <c r="C37" i="12" a="1"/>
  <c r="C37" i="12" s="1"/>
  <c r="C36" i="12" a="1"/>
  <c r="C36" i="12" s="1"/>
  <c r="C35" i="12" a="1"/>
  <c r="C35" i="12" s="1"/>
  <c r="C34" i="12" a="1"/>
  <c r="C34" i="12" s="1"/>
  <c r="C33" i="12" a="1"/>
  <c r="C33" i="12" s="1"/>
  <c r="C32" i="12" a="1"/>
  <c r="C32" i="12" s="1"/>
  <c r="C31" i="12" a="1"/>
  <c r="C31" i="12" s="1"/>
  <c r="C30" i="12" a="1"/>
  <c r="C30" i="12" s="1"/>
  <c r="C29" i="12" a="1"/>
  <c r="C29" i="12" s="1"/>
  <c r="C28" i="12" a="1"/>
  <c r="C28" i="12" s="1"/>
  <c r="C27" i="12" a="1"/>
  <c r="C27" i="12" s="1"/>
  <c r="C26" i="12" a="1"/>
  <c r="C26" i="12" s="1"/>
  <c r="G30" i="12"/>
  <c r="I30" i="12" s="1"/>
  <c r="J30" i="12" s="1"/>
  <c r="G20" i="12"/>
  <c r="J20" i="12" s="1"/>
  <c r="C7" i="12"/>
  <c r="G212" i="9"/>
  <c r="F212" i="9"/>
  <c r="G211" i="9"/>
  <c r="F211" i="9"/>
  <c r="G210" i="9"/>
  <c r="F210" i="9"/>
  <c r="G209" i="9"/>
  <c r="F209" i="9"/>
  <c r="G208" i="9"/>
  <c r="F208" i="9"/>
  <c r="G207" i="9"/>
  <c r="F207" i="9"/>
  <c r="G206" i="9"/>
  <c r="F206" i="9"/>
  <c r="G205" i="9"/>
  <c r="F205" i="9"/>
  <c r="G204" i="9"/>
  <c r="F204" i="9"/>
  <c r="G203" i="9"/>
  <c r="F203" i="9"/>
  <c r="G202" i="9"/>
  <c r="F202" i="9"/>
  <c r="G201" i="9"/>
  <c r="F201" i="9"/>
  <c r="G200" i="9"/>
  <c r="F200" i="9"/>
  <c r="G199" i="9"/>
  <c r="F199" i="9"/>
  <c r="G198" i="9"/>
  <c r="F198" i="9"/>
  <c r="G197" i="9"/>
  <c r="F197" i="9"/>
  <c r="G196" i="9"/>
  <c r="F196" i="9"/>
  <c r="G195" i="9"/>
  <c r="F195" i="9"/>
  <c r="G194" i="9"/>
  <c r="F194" i="9"/>
  <c r="G193" i="9"/>
  <c r="F193" i="9"/>
  <c r="G192" i="9"/>
  <c r="F192" i="9"/>
  <c r="G191" i="9"/>
  <c r="F191" i="9"/>
  <c r="G190" i="9"/>
  <c r="F190" i="9"/>
  <c r="G189" i="9"/>
  <c r="F189" i="9"/>
  <c r="G188" i="9"/>
  <c r="F188" i="9"/>
  <c r="G187" i="9"/>
  <c r="F187" i="9"/>
  <c r="G186" i="9"/>
  <c r="F186" i="9"/>
  <c r="G185" i="9"/>
  <c r="F185" i="9"/>
  <c r="G184" i="9"/>
  <c r="F184" i="9"/>
  <c r="G183" i="9"/>
  <c r="F183" i="9"/>
  <c r="G182" i="9"/>
  <c r="F182" i="9"/>
  <c r="G181" i="9"/>
  <c r="F181" i="9"/>
  <c r="G180" i="9"/>
  <c r="F180" i="9"/>
  <c r="G179" i="9"/>
  <c r="F179" i="9"/>
  <c r="G178" i="9"/>
  <c r="F178" i="9"/>
  <c r="G177" i="9"/>
  <c r="F177" i="9"/>
  <c r="G176" i="9"/>
  <c r="F176" i="9"/>
  <c r="G175" i="9"/>
  <c r="F175" i="9"/>
  <c r="G174" i="9"/>
  <c r="F174" i="9"/>
  <c r="G173" i="9"/>
  <c r="F173" i="9"/>
  <c r="G172" i="9"/>
  <c r="F172" i="9"/>
  <c r="G171" i="9"/>
  <c r="F171" i="9"/>
  <c r="G170" i="9"/>
  <c r="F170" i="9"/>
  <c r="G169" i="9"/>
  <c r="F169" i="9"/>
  <c r="G168" i="9"/>
  <c r="F168" i="9"/>
  <c r="G167" i="9"/>
  <c r="F167" i="9"/>
  <c r="G166" i="9"/>
  <c r="F166" i="9"/>
  <c r="G165" i="9"/>
  <c r="F165" i="9"/>
  <c r="G164" i="9"/>
  <c r="F164" i="9"/>
  <c r="G163" i="9"/>
  <c r="F163" i="9"/>
  <c r="G162" i="9"/>
  <c r="F162" i="9"/>
  <c r="G161" i="9"/>
  <c r="F161" i="9"/>
  <c r="G160" i="9"/>
  <c r="F160" i="9"/>
  <c r="G159" i="9"/>
  <c r="F159" i="9"/>
  <c r="G158" i="9"/>
  <c r="F158" i="9"/>
  <c r="G157" i="9"/>
  <c r="F157" i="9"/>
  <c r="G156" i="9"/>
  <c r="F156" i="9"/>
  <c r="G155" i="9"/>
  <c r="F155" i="9"/>
  <c r="G154" i="9"/>
  <c r="F154" i="9"/>
  <c r="G153" i="9"/>
  <c r="F153" i="9"/>
  <c r="G152" i="9"/>
  <c r="F152" i="9"/>
  <c r="G151" i="9"/>
  <c r="F151" i="9"/>
  <c r="G150" i="9"/>
  <c r="F150" i="9"/>
  <c r="G149" i="9"/>
  <c r="F149" i="9"/>
  <c r="G148" i="9"/>
  <c r="F148" i="9"/>
  <c r="G147" i="9"/>
  <c r="F147" i="9"/>
  <c r="G146" i="9"/>
  <c r="F146" i="9"/>
  <c r="G145" i="9"/>
  <c r="F145" i="9"/>
  <c r="G144" i="9"/>
  <c r="F144" i="9"/>
  <c r="G143" i="9"/>
  <c r="F143" i="9"/>
  <c r="G142" i="9"/>
  <c r="F142" i="9"/>
  <c r="G141" i="9"/>
  <c r="F141" i="9"/>
  <c r="G140" i="9"/>
  <c r="F140" i="9"/>
  <c r="G139" i="9"/>
  <c r="F139" i="9"/>
  <c r="G138" i="9"/>
  <c r="F138" i="9"/>
  <c r="G137" i="9"/>
  <c r="F137" i="9"/>
  <c r="G136" i="9"/>
  <c r="F136" i="9"/>
  <c r="G135" i="9"/>
  <c r="F135" i="9"/>
  <c r="G134" i="9"/>
  <c r="F134" i="9"/>
  <c r="G133" i="9"/>
  <c r="F133" i="9"/>
  <c r="G132" i="9"/>
  <c r="F132" i="9"/>
  <c r="G131" i="9"/>
  <c r="F131" i="9"/>
  <c r="G130" i="9"/>
  <c r="F130" i="9"/>
  <c r="G129" i="9"/>
  <c r="F129" i="9"/>
  <c r="G128" i="9"/>
  <c r="F128" i="9"/>
  <c r="G127" i="9"/>
  <c r="F127" i="9"/>
  <c r="G126" i="9"/>
  <c r="F126" i="9"/>
  <c r="G125" i="9"/>
  <c r="F125" i="9"/>
  <c r="G124" i="9"/>
  <c r="F124" i="9"/>
  <c r="G123" i="9"/>
  <c r="F123" i="9"/>
  <c r="G122" i="9"/>
  <c r="F122" i="9"/>
  <c r="G121" i="9"/>
  <c r="F121" i="9"/>
  <c r="G120" i="9"/>
  <c r="F120" i="9"/>
  <c r="G119" i="9"/>
  <c r="F119" i="9"/>
  <c r="G118" i="9"/>
  <c r="F118" i="9"/>
  <c r="G117" i="9"/>
  <c r="F117" i="9"/>
  <c r="G116" i="9"/>
  <c r="F116" i="9"/>
  <c r="G115" i="9"/>
  <c r="F115" i="9"/>
  <c r="G114" i="9"/>
  <c r="F114" i="9"/>
  <c r="G113" i="9"/>
  <c r="F113" i="9"/>
  <c r="G112" i="9"/>
  <c r="F112" i="9"/>
  <c r="G111" i="9"/>
  <c r="F111" i="9"/>
  <c r="G110" i="9"/>
  <c r="F110" i="9"/>
  <c r="G109" i="9"/>
  <c r="F109" i="9"/>
  <c r="G108" i="9"/>
  <c r="F108" i="9"/>
  <c r="G107" i="9"/>
  <c r="F107" i="9"/>
  <c r="G106" i="9"/>
  <c r="F106" i="9"/>
  <c r="G105" i="9"/>
  <c r="F105" i="9"/>
  <c r="G104" i="9"/>
  <c r="F104" i="9"/>
  <c r="G103" i="9"/>
  <c r="F103" i="9"/>
  <c r="G102" i="9"/>
  <c r="F102" i="9"/>
  <c r="G101" i="9"/>
  <c r="F101" i="9"/>
  <c r="G100" i="9"/>
  <c r="F100" i="9"/>
  <c r="G99" i="9"/>
  <c r="F99" i="9"/>
  <c r="G98" i="9"/>
  <c r="F98" i="9"/>
  <c r="G97" i="9"/>
  <c r="F97" i="9"/>
  <c r="G96" i="9"/>
  <c r="F96" i="9"/>
  <c r="G95" i="9"/>
  <c r="F95" i="9"/>
  <c r="G94" i="9"/>
  <c r="F94" i="9"/>
  <c r="G93" i="9"/>
  <c r="F93" i="9"/>
  <c r="G92" i="9"/>
  <c r="F92" i="9"/>
  <c r="G91" i="9"/>
  <c r="F91" i="9"/>
  <c r="G90" i="9"/>
  <c r="F90" i="9"/>
  <c r="G89" i="9"/>
  <c r="F89" i="9"/>
  <c r="G88" i="9"/>
  <c r="F88" i="9"/>
  <c r="G87" i="9"/>
  <c r="F87" i="9"/>
  <c r="G86" i="9"/>
  <c r="F86" i="9"/>
  <c r="G85" i="9"/>
  <c r="F85" i="9"/>
  <c r="G84" i="9"/>
  <c r="F84" i="9"/>
  <c r="G83" i="9"/>
  <c r="F83" i="9"/>
  <c r="G82" i="9"/>
  <c r="F82" i="9"/>
  <c r="G81" i="9"/>
  <c r="F81" i="9"/>
  <c r="G80" i="9"/>
  <c r="F80" i="9"/>
  <c r="G79" i="9"/>
  <c r="F79" i="9"/>
  <c r="G78" i="9"/>
  <c r="F78" i="9"/>
  <c r="G77" i="9"/>
  <c r="F77" i="9"/>
  <c r="G76" i="9"/>
  <c r="F76" i="9"/>
  <c r="G75" i="9"/>
  <c r="F75" i="9"/>
  <c r="G74" i="9"/>
  <c r="F74" i="9"/>
  <c r="G73" i="9"/>
  <c r="F73" i="9"/>
  <c r="G72" i="9"/>
  <c r="F72" i="9"/>
  <c r="G71" i="9"/>
  <c r="F71" i="9"/>
  <c r="G70" i="9"/>
  <c r="F70" i="9"/>
  <c r="G69" i="9"/>
  <c r="F69" i="9"/>
  <c r="G68" i="9"/>
  <c r="F68" i="9"/>
  <c r="G67" i="9"/>
  <c r="F67" i="9"/>
  <c r="G66" i="9"/>
  <c r="F66" i="9"/>
  <c r="G65" i="9"/>
  <c r="F65" i="9"/>
  <c r="G64" i="9"/>
  <c r="F64" i="9"/>
  <c r="G63" i="9"/>
  <c r="F63" i="9"/>
  <c r="G62" i="9"/>
  <c r="F62" i="9"/>
  <c r="G61" i="9"/>
  <c r="F61" i="9"/>
  <c r="G60" i="9"/>
  <c r="F60" i="9"/>
  <c r="G59" i="9"/>
  <c r="F59" i="9"/>
  <c r="G58" i="9"/>
  <c r="F58" i="9"/>
  <c r="G57" i="9"/>
  <c r="F57" i="9"/>
  <c r="G56" i="9"/>
  <c r="F56" i="9"/>
  <c r="G55" i="9"/>
  <c r="F55" i="9"/>
  <c r="G54" i="9"/>
  <c r="F54" i="9"/>
  <c r="G53" i="9"/>
  <c r="F53" i="9"/>
  <c r="G52" i="9"/>
  <c r="F52" i="9"/>
  <c r="G51" i="9"/>
  <c r="F51" i="9"/>
  <c r="G50" i="9"/>
  <c r="F50" i="9"/>
  <c r="G49" i="9"/>
  <c r="F49" i="9"/>
  <c r="G48" i="9"/>
  <c r="F48" i="9"/>
  <c r="G47" i="9"/>
  <c r="F47" i="9"/>
  <c r="G46" i="9"/>
  <c r="F46" i="9"/>
  <c r="G45" i="9"/>
  <c r="F45" i="9"/>
  <c r="G44" i="9"/>
  <c r="F44" i="9"/>
  <c r="G43" i="9"/>
  <c r="F43" i="9"/>
  <c r="G42" i="9"/>
  <c r="F42" i="9"/>
  <c r="G41" i="9"/>
  <c r="F41" i="9"/>
  <c r="G40" i="9"/>
  <c r="F40" i="9"/>
  <c r="G39" i="9"/>
  <c r="F39" i="9"/>
  <c r="G38" i="9"/>
  <c r="F38" i="9"/>
  <c r="G37" i="9"/>
  <c r="F37" i="9"/>
  <c r="G36" i="9"/>
  <c r="F36" i="9"/>
  <c r="G35" i="9"/>
  <c r="F35" i="9"/>
  <c r="G34" i="9"/>
  <c r="F34" i="9"/>
  <c r="G33" i="9"/>
  <c r="F33" i="9"/>
  <c r="G32" i="9"/>
  <c r="F32" i="9"/>
  <c r="G31" i="9"/>
  <c r="F31" i="9"/>
  <c r="G30" i="9"/>
  <c r="F30" i="9"/>
  <c r="G29" i="9"/>
  <c r="F29" i="9"/>
  <c r="G28" i="9"/>
  <c r="F28" i="9"/>
  <c r="G27" i="9"/>
  <c r="F27" i="9"/>
  <c r="G26" i="9"/>
  <c r="F26" i="9"/>
  <c r="G25" i="9"/>
  <c r="F25" i="9"/>
  <c r="G24" i="9"/>
  <c r="F24" i="9"/>
  <c r="G23" i="9"/>
  <c r="F23" i="9"/>
  <c r="G22" i="9"/>
  <c r="F22" i="9"/>
  <c r="G21" i="9"/>
  <c r="F21" i="9"/>
  <c r="G20" i="9"/>
  <c r="F20" i="9"/>
  <c r="G19" i="9"/>
  <c r="F19" i="9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4" i="9"/>
  <c r="F4" i="9"/>
  <c r="G3" i="9"/>
  <c r="F3" i="9"/>
  <c r="G34" i="12" l="1"/>
  <c r="I34" i="12" s="1"/>
  <c r="J34" i="12" s="1"/>
  <c r="G17" i="12"/>
  <c r="I17" i="12" s="1"/>
  <c r="G18" i="12"/>
  <c r="I18" i="12" s="1"/>
  <c r="G36" i="12"/>
  <c r="I36" i="12" s="1"/>
  <c r="J36" i="12" s="1"/>
  <c r="G37" i="12"/>
  <c r="I37" i="12" s="1"/>
  <c r="J37" i="12" s="1"/>
  <c r="G35" i="12"/>
  <c r="I35" i="12" s="1"/>
  <c r="J35" i="12" s="1"/>
  <c r="H17" i="12" l="1"/>
  <c r="J17" i="12" s="1"/>
  <c r="H18" i="12"/>
  <c r="J18" i="12" s="1"/>
  <c r="C16" i="11" l="1"/>
  <c r="C13" i="11"/>
  <c r="C10" i="11"/>
  <c r="C7" i="11"/>
  <c r="E15" i="12" l="1"/>
  <c r="E13" i="12"/>
  <c r="C13" i="12"/>
  <c r="C15" i="12"/>
  <c r="D13" i="12"/>
  <c r="D15" i="12"/>
  <c r="G32" i="12" s="1"/>
  <c r="I32" i="12" s="1"/>
  <c r="J32" i="12" s="1"/>
  <c r="F15" i="12"/>
  <c r="F13" i="12"/>
  <c r="D14" i="12"/>
  <c r="G29" i="12" s="1"/>
  <c r="I29" i="12" s="1"/>
  <c r="J29" i="12" s="1"/>
  <c r="F14" i="12"/>
  <c r="C14" i="12"/>
  <c r="E14" i="12"/>
  <c r="E16" i="12"/>
  <c r="E10" i="12"/>
  <c r="E19" i="12"/>
  <c r="F19" i="12"/>
  <c r="F16" i="12"/>
  <c r="F10" i="12"/>
  <c r="C16" i="12"/>
  <c r="C19" i="12"/>
  <c r="C10" i="12"/>
  <c r="D19" i="12"/>
  <c r="G39" i="12" s="1"/>
  <c r="I39" i="12" s="1"/>
  <c r="J39" i="12" s="1"/>
  <c r="D16" i="12"/>
  <c r="D10" i="12"/>
  <c r="G10" i="12" l="1"/>
  <c r="E21" i="12"/>
  <c r="G27" i="12"/>
  <c r="I27" i="12" s="1"/>
  <c r="J27" i="12" s="1"/>
  <c r="D21" i="12"/>
  <c r="F21" i="12"/>
  <c r="G26" i="12"/>
  <c r="G13" i="12"/>
  <c r="C21" i="12"/>
  <c r="G28" i="12"/>
  <c r="I28" i="12" s="1"/>
  <c r="J28" i="12" s="1"/>
  <c r="G14" i="12"/>
  <c r="G15" i="12"/>
  <c r="G31" i="12"/>
  <c r="I31" i="12" s="1"/>
  <c r="J31" i="12" s="1"/>
  <c r="G33" i="12"/>
  <c r="I33" i="12" s="1"/>
  <c r="J33" i="12" s="1"/>
  <c r="G16" i="12"/>
  <c r="G38" i="12"/>
  <c r="I38" i="12" s="1"/>
  <c r="J38" i="12" s="1"/>
  <c r="G19" i="12"/>
  <c r="I15" i="12" l="1"/>
  <c r="H15" i="12"/>
  <c r="I14" i="12"/>
  <c r="H14" i="12"/>
  <c r="I19" i="12"/>
  <c r="H19" i="12"/>
  <c r="G21" i="12"/>
  <c r="I13" i="12"/>
  <c r="H13" i="12"/>
  <c r="I16" i="12"/>
  <c r="H16" i="12"/>
  <c r="G40" i="12"/>
  <c r="I26" i="12"/>
  <c r="J14" i="12" l="1"/>
  <c r="J16" i="12"/>
  <c r="J19" i="12"/>
  <c r="J15" i="12"/>
  <c r="J13" i="12"/>
  <c r="H21" i="12"/>
  <c r="I21" i="12"/>
  <c r="I40" i="12"/>
  <c r="J26" i="12"/>
  <c r="J40" i="12" s="1"/>
  <c r="J21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ACE.OLEDB.12.0;Password=&quot;&quot;;User ID=Admin;Data Source=C:\Users\pwright\Desktop\RogersInvoice.accdb;Mode=Share Deny Write;Extended Properties=&quot;&quot;;Jet OLEDB:System database=&quot;&quot;;Jet OLEDB:Registry Path=&quot;&quot;;Jet OLEDB:Database Password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SELECT * FROM Acquisition WHERE (AcquisitionOutput.ChannelName='RIL') AND (AcquisitionOutput.Type='Acquisition')"/>
  </connection>
  <connection id="2" xr16:uid="{00000000-0015-0000-FFFF-FFFF01000000}" keepAlive="1" name="Connection1" type="5" refreshedVersion="6" saveData="1">
    <dbPr connection="Provider=Microsoft.ACE.OLEDB.12.0;User ID=Admin;Data Source=H:\RogersInvoice-Spire\RogersInvoiceDATA-Spir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AcquisitionOutput WHERE (AcquisitionOutput.ChannelName in ('RIL','BCC','Corporate','Government of Canada','Ontario Government (MGS)','M2M','NDS','NIS','RCC','RDC','RDL','BSS','RDDealer','REAL','RPP','SHAW','SBP','RDS','REM')) "/>
  </connection>
  <connection id="3" xr16:uid="{00000000-0015-0000-FFFF-FFFF02000000}" keepAlive="1" name="Connection2" type="5" refreshedVersion="6" saveData="1">
    <dbPr connection="Provider=Microsoft.ACE.OLEDB.12.0;User ID=Admin;Data Source=H:\RogersInvoice-Spire\RogersInvoiceDATA-Spir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* FROM tblAcquisitionAR WHERE (tblAcquisitionAR.ChannelName='RIL')"/>
  </connection>
</connections>
</file>

<file path=xl/sharedStrings.xml><?xml version="1.0" encoding="utf-8"?>
<sst xmlns="http://schemas.openxmlformats.org/spreadsheetml/2006/main" count="1511" uniqueCount="232">
  <si>
    <t>GST (5%)</t>
  </si>
  <si>
    <t>CustName</t>
  </si>
  <si>
    <t>Acquisition</t>
  </si>
  <si>
    <t>TopUpTotal</t>
  </si>
  <si>
    <t>FFF - Acq</t>
  </si>
  <si>
    <t>FFF - HUP</t>
  </si>
  <si>
    <t>Return</t>
  </si>
  <si>
    <t>DISCOVER COMMUNICATIONS</t>
  </si>
  <si>
    <t>Channel:</t>
  </si>
  <si>
    <t>FFF</t>
  </si>
  <si>
    <t>Top-Up (Subsidy)</t>
  </si>
  <si>
    <t>Receivables</t>
  </si>
  <si>
    <t>Total</t>
  </si>
  <si>
    <t>Grand Total</t>
  </si>
  <si>
    <t>HUP</t>
  </si>
  <si>
    <t>Returns</t>
  </si>
  <si>
    <t>G/L Coding Table</t>
  </si>
  <si>
    <t>Credit Card Fees</t>
  </si>
  <si>
    <t>Acc</t>
  </si>
  <si>
    <t>Cost Breakdown</t>
  </si>
  <si>
    <t>G/L Coding</t>
  </si>
  <si>
    <t>Tax Code</t>
  </si>
  <si>
    <t>Total
(incl tax)</t>
  </si>
  <si>
    <t>Total
(excl tax)</t>
  </si>
  <si>
    <t>Top-Up Subsidy - Acq</t>
  </si>
  <si>
    <t>Top-Up Subsidy - HUP</t>
  </si>
  <si>
    <t>Total 
(excl tax)</t>
  </si>
  <si>
    <t>Taxes</t>
  </si>
  <si>
    <t>Period:</t>
  </si>
  <si>
    <t>Fee For Fulfillment (FFF) Invoice</t>
  </si>
  <si>
    <t>Units</t>
  </si>
  <si>
    <t>Transactions</t>
  </si>
  <si>
    <t>Costs</t>
  </si>
  <si>
    <t>Invoice #</t>
  </si>
  <si>
    <t>Approved By:</t>
  </si>
  <si>
    <t>Rogers Approvals:</t>
  </si>
  <si>
    <t>Credit Card</t>
  </si>
  <si>
    <t>V21 Account</t>
  </si>
  <si>
    <t>Invoice</t>
  </si>
  <si>
    <t>Receivables - Acq</t>
  </si>
  <si>
    <t>Receivables - HUP</t>
  </si>
  <si>
    <t>ChannelName</t>
  </si>
  <si>
    <t>PaymentMethod</t>
  </si>
  <si>
    <t>Type</t>
  </si>
  <si>
    <t>Type2</t>
  </si>
  <si>
    <t>InvoiceDate</t>
  </si>
  <si>
    <t>OrderDate</t>
  </si>
  <si>
    <t>CustTerritory</t>
  </si>
  <si>
    <t>MSD</t>
  </si>
  <si>
    <t>UserName</t>
  </si>
  <si>
    <t>CellPhoneNo</t>
  </si>
  <si>
    <t>VoicePlan</t>
  </si>
  <si>
    <t>DataPlan</t>
  </si>
  <si>
    <t>WebOrderID</t>
  </si>
  <si>
    <t>Qty</t>
  </si>
  <si>
    <t>PartNumber</t>
  </si>
  <si>
    <t>IMEIESN</t>
  </si>
  <si>
    <t>AccessoryCost</t>
  </si>
  <si>
    <t>AccessoryPrice</t>
  </si>
  <si>
    <t>Fee</t>
  </si>
  <si>
    <t>FeeCount</t>
  </si>
  <si>
    <t>HST (13%)</t>
  </si>
  <si>
    <t>HST ONLY</t>
  </si>
  <si>
    <t>RIL</t>
  </si>
  <si>
    <t>HDWChargeToCustomer</t>
  </si>
  <si>
    <t>True HDW TopUp</t>
  </si>
  <si>
    <t>BVReceiptCost</t>
  </si>
  <si>
    <t>IMEIReceiveAppCost</t>
  </si>
  <si>
    <t>NetPriceProtection</t>
  </si>
  <si>
    <t>NetIMEIReceiveAppCost</t>
  </si>
  <si>
    <t>ReturnClassification</t>
  </si>
  <si>
    <t>TopUp Acc</t>
  </si>
  <si>
    <t>ACCChargeToCx</t>
  </si>
  <si>
    <t>AccMargin</t>
  </si>
  <si>
    <t>Group</t>
  </si>
  <si>
    <t>ReceiptDate1</t>
  </si>
  <si>
    <t>Invoice1</t>
  </si>
  <si>
    <t>Qty1</t>
  </si>
  <si>
    <t>Cost1</t>
  </si>
  <si>
    <t>ReceiptDate2</t>
  </si>
  <si>
    <t>Invoice2</t>
  </si>
  <si>
    <t>Qty2</t>
  </si>
  <si>
    <t>Cost2</t>
  </si>
  <si>
    <t>ReceiptDate3</t>
  </si>
  <si>
    <t>Invoice3</t>
  </si>
  <si>
    <t>Qty3</t>
  </si>
  <si>
    <t>Cost3</t>
  </si>
  <si>
    <t>AccSeq</t>
  </si>
  <si>
    <t>BCC</t>
  </si>
  <si>
    <t>Corporate</t>
  </si>
  <si>
    <t>Government of Canada</t>
  </si>
  <si>
    <t>NIS</t>
  </si>
  <si>
    <t>Ontario Government (MGS)</t>
  </si>
  <si>
    <t>RDL</t>
  </si>
  <si>
    <t>ShipToProvince</t>
  </si>
  <si>
    <t>Channel</t>
  </si>
  <si>
    <t>G/L Coding for Credit Card</t>
  </si>
  <si>
    <t>G/L Coding for Vision 21</t>
  </si>
  <si>
    <t>G/L Coding for Invoice</t>
  </si>
  <si>
    <t>Match GL coding for Credit Card and Vision21</t>
  </si>
  <si>
    <t>Match GL coding for Vision21 and Invoice</t>
  </si>
  <si>
    <t>534.1101.1140.0000.63010.009.0000.0000.000</t>
  </si>
  <si>
    <t>534.1101.1140.9999.63010.009.0000.0000.000</t>
  </si>
  <si>
    <t>534.1101.1140.1014.63010.009.0000.0000.000</t>
  </si>
  <si>
    <t>534.2100.0000.1014.47108.009.0000.0000.000</t>
  </si>
  <si>
    <t>534.2100.0000.1014.47408.009.0000.0000.000</t>
  </si>
  <si>
    <t>534.1101.1140.0000.63010.007.0000.0000.000</t>
  </si>
  <si>
    <t>534.1101.1140.9999.63010.007.0000.0000.000</t>
  </si>
  <si>
    <t>534.1101.1140.1014.63010.007.0000.0000.000</t>
  </si>
  <si>
    <t>534.2100.0000.1014.47108.007.0000.0000.000</t>
  </si>
  <si>
    <t>534.2100.0000.1014.47408.007.0000.0000.000</t>
  </si>
  <si>
    <t>534.1101.1140.0000.63010.025.0000.0000.000</t>
  </si>
  <si>
    <t>534.1101.1140.9999.63010.025.0000.0000.000</t>
  </si>
  <si>
    <t>534.1101.1140.1014.63010.025.0000.0000.000</t>
  </si>
  <si>
    <t>534.2100.0000.1014.47108.025.0000.0000.000</t>
  </si>
  <si>
    <t>534.2100.0000.1014.47408.025.0000.0000.000</t>
  </si>
  <si>
    <t>534.1101.1140.0000.63010.012.0000.0000.000</t>
  </si>
  <si>
    <t>534.1101.1140.9999.63010.012.0000.0000.000</t>
  </si>
  <si>
    <t>534.1101.1140.1014.63010.012.0000.0000.000</t>
  </si>
  <si>
    <t>534.2100.0000.1014.47108.012.0000.0000.000</t>
  </si>
  <si>
    <t>534.2100.0000.1014.47408.012.0000.0000.000</t>
  </si>
  <si>
    <t>RDC</t>
  </si>
  <si>
    <t>534.1101.1140.0000.63120.012.0000.0000.000</t>
  </si>
  <si>
    <t>534.1101.1140.9999.63120.012.0000.0000.000</t>
  </si>
  <si>
    <t>534.1101.1140.1014.63120.012.0000.0000.000</t>
  </si>
  <si>
    <t>534.2100.0000.9999.47408.012.0000.0000.000</t>
  </si>
  <si>
    <t>RCC</t>
  </si>
  <si>
    <t>Not Applicable</t>
  </si>
  <si>
    <t>534.2100.0000.9999.47408.025.0000.0000.000</t>
  </si>
  <si>
    <t>RCT</t>
  </si>
  <si>
    <t>BVReceiptNo</t>
  </si>
  <si>
    <t>BVReceiptNoInt</t>
  </si>
  <si>
    <t>BVReceiptQty</t>
  </si>
  <si>
    <t>BVReceiptCostAcc</t>
  </si>
  <si>
    <t>BVReceiptDate</t>
  </si>
  <si>
    <t>RogersInvoiceCost</t>
  </si>
  <si>
    <t>RV-UEValue</t>
  </si>
  <si>
    <t>HDWRV-UEValue</t>
  </si>
  <si>
    <t>RV-UE Value</t>
  </si>
  <si>
    <t>534.1101.0000.0000.17051.000.0000.0000.000</t>
  </si>
  <si>
    <t>BSS</t>
  </si>
  <si>
    <t>RateTierTransactionCount</t>
  </si>
  <si>
    <t>DeviceOfferTypeID</t>
  </si>
  <si>
    <t>DealerCode</t>
  </si>
  <si>
    <t>HdwCost</t>
  </si>
  <si>
    <t>HdwSellPrice</t>
  </si>
  <si>
    <t>TopUpHdw</t>
  </si>
  <si>
    <t>Topup Acc</t>
  </si>
  <si>
    <t>GST</t>
  </si>
  <si>
    <t>PST</t>
  </si>
  <si>
    <t>HST</t>
  </si>
  <si>
    <t>QST</t>
  </si>
  <si>
    <t>ARAmount</t>
  </si>
  <si>
    <t>SCOA</t>
  </si>
  <si>
    <t>PartNumberDescription</t>
  </si>
  <si>
    <t>ARAmount-ARTaxes-CCGrossSale</t>
  </si>
  <si>
    <t>SalesBeforeTax</t>
  </si>
  <si>
    <t>GST-HST</t>
  </si>
  <si>
    <t>PST-QST</t>
  </si>
  <si>
    <t>R4BOrderID</t>
  </si>
  <si>
    <t>PortedCTN</t>
  </si>
  <si>
    <t>HDWMargin</t>
  </si>
  <si>
    <t>FeePayback</t>
  </si>
  <si>
    <t>RDDealer</t>
  </si>
  <si>
    <t>Dealer Enablement</t>
  </si>
  <si>
    <t>REAL</t>
  </si>
  <si>
    <t>R4B</t>
  </si>
  <si>
    <t>FFFPayBack</t>
  </si>
  <si>
    <t>RPP</t>
  </si>
  <si>
    <t>IDV</t>
  </si>
  <si>
    <t>SHAW</t>
  </si>
  <si>
    <t>FFFPayBack - Acq</t>
  </si>
  <si>
    <t>FFFPayBack - HUP</t>
  </si>
  <si>
    <t>DealerHDWMargin</t>
  </si>
  <si>
    <t>DealerACCMargin</t>
  </si>
  <si>
    <t>Comments</t>
  </si>
  <si>
    <t>RDAccUnitCost</t>
  </si>
  <si>
    <t>RDAccExtendedCost</t>
  </si>
  <si>
    <t>Dealer Hdw. Margin - Acq</t>
  </si>
  <si>
    <t>Dealer Hdw. Margin - HUP</t>
  </si>
  <si>
    <t>Dealer Acc. Margin - Acq</t>
  </si>
  <si>
    <t>Dealer Acc. Margin - HUP</t>
  </si>
  <si>
    <t>N/A</t>
  </si>
  <si>
    <t>Transactions Count &amp; Cost (Fee Pay Back, RVUE Value, Dealer Hdw. Margin, Dealer Acc. Margin, Receivables) Criteria</t>
  </si>
  <si>
    <t>For All channels</t>
  </si>
  <si>
    <t>Criteria Range Name</t>
  </si>
  <si>
    <t>CriteriaAcq</t>
  </si>
  <si>
    <t>CriteriaHUP</t>
  </si>
  <si>
    <t>CriteriaAcc</t>
  </si>
  <si>
    <t>CriteriaReturn</t>
  </si>
  <si>
    <t>Cost criteria</t>
  </si>
  <si>
    <t>CriteriaRPPAcqAcc</t>
  </si>
  <si>
    <t>&lt;&gt;HDW</t>
  </si>
  <si>
    <t>CriteriaRPPHUPAcc</t>
  </si>
  <si>
    <t>CriteriaRPPAccAcc</t>
  </si>
  <si>
    <t>CriteriaRPPReturnAcc</t>
  </si>
  <si>
    <t>RDDealer channel - Acc. (Non HDW Groups)</t>
  </si>
  <si>
    <t>CriteriaRDDAcqAcc</t>
  </si>
  <si>
    <t>CriteriaRDDHUPAcc</t>
  </si>
  <si>
    <t>CriteriaRDDAccAcc</t>
  </si>
  <si>
    <t>CriteriaRDDReturnAcc</t>
  </si>
  <si>
    <t>RDDealer channel - HDW only Transactions</t>
  </si>
  <si>
    <t>Dealer Hdw. Margin</t>
  </si>
  <si>
    <t>Dealer Acc. Margin</t>
  </si>
  <si>
    <t>NO TAX</t>
  </si>
  <si>
    <t>AccessoryType</t>
  </si>
  <si>
    <t>AgentName</t>
  </si>
  <si>
    <t>AgentEmail</t>
  </si>
  <si>
    <t>AgentContactNumber</t>
  </si>
  <si>
    <t>RogersHWMarginShare</t>
  </si>
  <si>
    <t>RogersACCMarginShare</t>
  </si>
  <si>
    <t>BAN</t>
  </si>
  <si>
    <t>Term</t>
  </si>
  <si>
    <t>Hardware Only</t>
  </si>
  <si>
    <t>CriteriaRDDAcqHdwOnly</t>
  </si>
  <si>
    <t>CriteriaRDDHUPHdwOnly</t>
  </si>
  <si>
    <t>CriteriaRDDAccHdwOnly</t>
  </si>
  <si>
    <t>CriteriaRDDReturnHdwOnly</t>
  </si>
  <si>
    <t>RDDealer channel - ACC Return Transactions</t>
  </si>
  <si>
    <t>CriteriaRDDAccReturn</t>
  </si>
  <si>
    <t>ACC</t>
  </si>
  <si>
    <t>SBP</t>
  </si>
  <si>
    <t>RDS</t>
  </si>
  <si>
    <t>RPP, RDS (INCLUDING VAR) channel - Non HDW Group</t>
  </si>
  <si>
    <t>CriteriaRDSAcqAcc</t>
  </si>
  <si>
    <t>CriteriaRDSHUPAcc</t>
  </si>
  <si>
    <t>CriteriaRDSAccAcc</t>
  </si>
  <si>
    <t>CriteriaRDSReturnAcc</t>
  </si>
  <si>
    <t>Mar 01-31, 2024</t>
  </si>
  <si>
    <t>RDType</t>
  </si>
  <si>
    <t>PPOverpayment</t>
  </si>
  <si>
    <t>REM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</si>
</sst>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.00;\-&quot;$&quot;#,##0.00"/>
    <numFmt numFmtId="165" formatCode="_-* #,##0.00_-;\-* #,##0.00_-;_-* &quot;-&quot;??_-;_-@_-"/>
    <numFmt numFmtId="166" formatCode="000"/>
    <numFmt numFmtId="167" formatCode="#,##0.00;#,##0.00;"/>
  </numFmts>
  <fonts count="10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18"/>
      <color indexed="9"/>
      <name val="Arial"/>
      <family val="2"/>
    </font>
    <font>
      <b/>
      <sz val="12"/>
      <color indexed="9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8"/>
      <name val="Arial"/>
      <family val="2"/>
    </font>
    <font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theme="2" tint="-9.9978637043366805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6" fillId="0" borderId="0"/>
    <xf numFmtId="165" fontId="9" fillId="0" borderId="0" applyFont="0" applyFill="0" applyBorder="0" applyAlignment="0" applyProtection="0"/>
  </cellStyleXfs>
  <cellXfs count="103">
    <xf numFmtId="0" fontId="0" fillId="0" borderId="0" xfId="0"/>
    <xf numFmtId="166" fontId="0" fillId="0" borderId="0" xfId="0" applyNumberForma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" fillId="0" borderId="0" xfId="0" applyFont="1" applyAlignment="1" applyProtection="1">
      <alignment horizontal="right" vertical="center"/>
      <protection locked="0"/>
    </xf>
    <xf numFmtId="164" fontId="0" fillId="0" borderId="0" xfId="0" applyNumberFormat="1" applyAlignment="1" applyProtection="1">
      <alignment horizontal="right" vertical="center"/>
      <protection locked="0"/>
    </xf>
    <xf numFmtId="164" fontId="0" fillId="2" borderId="1" xfId="0" applyNumberFormat="1" applyFill="1" applyBorder="1" applyAlignment="1" applyProtection="1">
      <alignment horizontal="right" vertical="center"/>
      <protection locked="0"/>
    </xf>
    <xf numFmtId="0" fontId="0" fillId="0" borderId="0" xfId="0" applyAlignment="1">
      <alignment vertical="center"/>
    </xf>
    <xf numFmtId="0" fontId="2" fillId="3" borderId="2" xfId="0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 wrapText="1"/>
    </xf>
    <xf numFmtId="164" fontId="0" fillId="0" borderId="4" xfId="0" applyNumberFormat="1" applyBorder="1" applyAlignment="1">
      <alignment horizontal="right" vertical="center"/>
    </xf>
    <xf numFmtId="164" fontId="0" fillId="0" borderId="5" xfId="0" applyNumberFormat="1" applyBorder="1" applyAlignment="1">
      <alignment horizontal="right" vertical="center"/>
    </xf>
    <xf numFmtId="164" fontId="0" fillId="2" borderId="1" xfId="0" applyNumberFormat="1" applyFill="1" applyBorder="1" applyAlignment="1">
      <alignment horizontal="right" vertical="center"/>
    </xf>
    <xf numFmtId="164" fontId="2" fillId="4" borderId="6" xfId="0" applyNumberFormat="1" applyFont="1" applyFill="1" applyBorder="1" applyAlignment="1">
      <alignment horizontal="right" vertical="center"/>
    </xf>
    <xf numFmtId="164" fontId="2" fillId="4" borderId="7" xfId="0" applyNumberFormat="1" applyFont="1" applyFill="1" applyBorder="1" applyAlignment="1">
      <alignment horizontal="right" vertical="center"/>
    </xf>
    <xf numFmtId="164" fontId="0" fillId="0" borderId="4" xfId="0" applyNumberFormat="1" applyBorder="1" applyAlignment="1">
      <alignment vertical="center"/>
    </xf>
    <xf numFmtId="164" fontId="0" fillId="0" borderId="5" xfId="0" applyNumberFormat="1" applyBorder="1" applyAlignment="1">
      <alignment vertical="center"/>
    </xf>
    <xf numFmtId="164" fontId="0" fillId="0" borderId="8" xfId="0" applyNumberFormat="1" applyBorder="1" applyAlignment="1">
      <alignment vertical="center"/>
    </xf>
    <xf numFmtId="164" fontId="2" fillId="4" borderId="6" xfId="0" applyNumberFormat="1" applyFont="1" applyFill="1" applyBorder="1" applyAlignment="1">
      <alignment vertical="center"/>
    </xf>
    <xf numFmtId="0" fontId="0" fillId="4" borderId="6" xfId="0" applyFill="1" applyBorder="1" applyAlignment="1">
      <alignment vertical="center"/>
    </xf>
    <xf numFmtId="164" fontId="2" fillId="4" borderId="7" xfId="0" applyNumberFormat="1" applyFont="1" applyFill="1" applyBorder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3" borderId="10" xfId="0" applyFont="1" applyFill="1" applyBorder="1" applyAlignment="1">
      <alignment vertical="center" wrapText="1"/>
    </xf>
    <xf numFmtId="0" fontId="6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4" borderId="13" xfId="0" applyFill="1" applyBorder="1" applyAlignment="1">
      <alignment vertical="center"/>
    </xf>
    <xf numFmtId="0" fontId="2" fillId="4" borderId="14" xfId="0" applyFont="1" applyFill="1" applyBorder="1" applyAlignment="1">
      <alignment vertical="center"/>
    </xf>
    <xf numFmtId="0" fontId="5" fillId="3" borderId="10" xfId="0" applyFont="1" applyFill="1" applyBorder="1" applyAlignment="1">
      <alignment vertical="center"/>
    </xf>
    <xf numFmtId="0" fontId="0" fillId="0" borderId="15" xfId="0" applyBorder="1" applyAlignment="1">
      <alignment vertical="center"/>
    </xf>
    <xf numFmtId="164" fontId="0" fillId="6" borderId="4" xfId="0" applyNumberFormat="1" applyFill="1" applyBorder="1" applyAlignment="1" applyProtection="1">
      <alignment horizontal="right" vertical="center"/>
      <protection locked="0"/>
    </xf>
    <xf numFmtId="164" fontId="0" fillId="6" borderId="1" xfId="0" applyNumberFormat="1" applyFill="1" applyBorder="1" applyAlignment="1" applyProtection="1">
      <alignment horizontal="right" vertical="center"/>
      <protection locked="0"/>
    </xf>
    <xf numFmtId="0" fontId="0" fillId="0" borderId="4" xfId="0" applyBorder="1" applyAlignment="1">
      <alignment horizontal="right" vertical="center"/>
    </xf>
    <xf numFmtId="0" fontId="2" fillId="3" borderId="16" xfId="0" applyFont="1" applyFill="1" applyBorder="1" applyAlignment="1">
      <alignment horizontal="right" vertical="center" wrapText="1"/>
    </xf>
    <xf numFmtId="0" fontId="2" fillId="3" borderId="11" xfId="0" applyFont="1" applyFill="1" applyBorder="1" applyAlignment="1">
      <alignment vertical="center"/>
    </xf>
    <xf numFmtId="0" fontId="2" fillId="3" borderId="12" xfId="0" applyFont="1" applyFill="1" applyBorder="1" applyAlignment="1">
      <alignment vertical="center"/>
    </xf>
    <xf numFmtId="0" fontId="0" fillId="7" borderId="17" xfId="0" applyFill="1" applyBorder="1" applyAlignment="1">
      <alignment vertical="center"/>
    </xf>
    <xf numFmtId="0" fontId="0" fillId="7" borderId="0" xfId="0" applyFill="1" applyAlignment="1">
      <alignment vertical="center"/>
    </xf>
    <xf numFmtId="0" fontId="2" fillId="7" borderId="18" xfId="0" applyFont="1" applyFill="1" applyBorder="1" applyAlignment="1">
      <alignment horizontal="right" vertical="center"/>
    </xf>
    <xf numFmtId="0" fontId="2" fillId="7" borderId="0" xfId="0" applyFont="1" applyFill="1" applyAlignment="1">
      <alignment horizontal="right" vertical="center"/>
    </xf>
    <xf numFmtId="0" fontId="2" fillId="7" borderId="0" xfId="0" applyFont="1" applyFill="1" applyAlignment="1">
      <alignment horizontal="right" vertical="center" wrapText="1"/>
    </xf>
    <xf numFmtId="164" fontId="0" fillId="7" borderId="18" xfId="0" applyNumberFormat="1" applyFill="1" applyBorder="1" applyAlignment="1">
      <alignment horizontal="right" vertical="center"/>
    </xf>
    <xf numFmtId="164" fontId="0" fillId="7" borderId="0" xfId="0" applyNumberFormat="1" applyFill="1" applyAlignment="1">
      <alignment horizontal="right" vertical="center"/>
    </xf>
    <xf numFmtId="0" fontId="0" fillId="7" borderId="19" xfId="0" applyFill="1" applyBorder="1" applyAlignment="1" applyProtection="1">
      <alignment vertical="center"/>
      <protection locked="0"/>
    </xf>
    <xf numFmtId="0" fontId="0" fillId="7" borderId="20" xfId="0" applyFill="1" applyBorder="1" applyAlignment="1" applyProtection="1">
      <alignment vertical="center"/>
      <protection locked="0"/>
    </xf>
    <xf numFmtId="166" fontId="0" fillId="7" borderId="20" xfId="0" applyNumberFormat="1" applyFill="1" applyBorder="1" applyAlignment="1" applyProtection="1">
      <alignment vertical="center"/>
      <protection locked="0"/>
    </xf>
    <xf numFmtId="0" fontId="0" fillId="7" borderId="21" xfId="0" applyFill="1" applyBorder="1" applyAlignment="1" applyProtection="1">
      <alignment vertical="center"/>
      <protection locked="0"/>
    </xf>
    <xf numFmtId="0" fontId="0" fillId="7" borderId="22" xfId="0" applyFill="1" applyBorder="1" applyAlignment="1" applyProtection="1">
      <alignment vertical="center"/>
      <protection locked="0"/>
    </xf>
    <xf numFmtId="0" fontId="0" fillId="7" borderId="23" xfId="0" applyFill="1" applyBorder="1" applyAlignment="1" applyProtection="1">
      <alignment vertical="center"/>
      <protection locked="0"/>
    </xf>
    <xf numFmtId="0" fontId="0" fillId="7" borderId="0" xfId="0" applyFill="1" applyAlignment="1" applyProtection="1">
      <alignment vertical="center"/>
      <protection locked="0"/>
    </xf>
    <xf numFmtId="0" fontId="0" fillId="7" borderId="22" xfId="0" applyFill="1" applyBorder="1" applyAlignment="1">
      <alignment vertical="center"/>
    </xf>
    <xf numFmtId="0" fontId="0" fillId="7" borderId="23" xfId="0" applyFill="1" applyBorder="1" applyAlignment="1">
      <alignment vertical="center"/>
    </xf>
    <xf numFmtId="0" fontId="2" fillId="7" borderId="0" xfId="0" applyFont="1" applyFill="1" applyAlignment="1">
      <alignment vertical="center"/>
    </xf>
    <xf numFmtId="0" fontId="0" fillId="7" borderId="24" xfId="0" applyFill="1" applyBorder="1" applyAlignment="1">
      <alignment vertical="center"/>
    </xf>
    <xf numFmtId="0" fontId="0" fillId="7" borderId="25" xfId="0" applyFill="1" applyBorder="1" applyAlignment="1">
      <alignment vertical="center"/>
    </xf>
    <xf numFmtId="0" fontId="0" fillId="7" borderId="26" xfId="0" applyFill="1" applyBorder="1" applyAlignment="1">
      <alignment vertical="center"/>
    </xf>
    <xf numFmtId="0" fontId="2" fillId="3" borderId="28" xfId="0" applyFont="1" applyFill="1" applyBorder="1" applyAlignment="1">
      <alignment vertical="center"/>
    </xf>
    <xf numFmtId="164" fontId="0" fillId="0" borderId="1" xfId="0" applyNumberFormat="1" applyBorder="1" applyAlignment="1">
      <alignment vertical="center"/>
    </xf>
    <xf numFmtId="0" fontId="2" fillId="4" borderId="29" xfId="0" applyFont="1" applyFill="1" applyBorder="1" applyAlignment="1">
      <alignment vertical="center"/>
    </xf>
    <xf numFmtId="164" fontId="7" fillId="2" borderId="1" xfId="0" applyNumberFormat="1" applyFont="1" applyFill="1" applyBorder="1" applyAlignment="1">
      <alignment horizontal="right" vertical="center"/>
    </xf>
    <xf numFmtId="0" fontId="6" fillId="0" borderId="4" xfId="0" applyFont="1" applyBorder="1" applyAlignment="1">
      <alignment horizontal="right" vertical="center"/>
    </xf>
    <xf numFmtId="0" fontId="6" fillId="0" borderId="0" xfId="0" applyFont="1" applyAlignment="1" applyProtection="1">
      <alignment vertical="center"/>
      <protection locked="0"/>
    </xf>
    <xf numFmtId="0" fontId="2" fillId="0" borderId="0" xfId="1" applyFont="1" applyAlignment="1">
      <alignment horizontal="center" vertical="center" wrapText="1"/>
    </xf>
    <xf numFmtId="0" fontId="6" fillId="0" borderId="0" xfId="1"/>
    <xf numFmtId="0" fontId="6" fillId="0" borderId="0" xfId="1" applyAlignment="1">
      <alignment horizontal="center"/>
    </xf>
    <xf numFmtId="164" fontId="0" fillId="0" borderId="0" xfId="0" applyNumberFormat="1" applyAlignment="1">
      <alignment vertical="center"/>
    </xf>
    <xf numFmtId="0" fontId="1" fillId="0" borderId="0" xfId="0" applyFont="1"/>
    <xf numFmtId="0" fontId="8" fillId="9" borderId="0" xfId="0" applyFont="1" applyFill="1"/>
    <xf numFmtId="0" fontId="1" fillId="9" borderId="0" xfId="0" applyFont="1" applyFill="1"/>
    <xf numFmtId="0" fontId="1" fillId="0" borderId="0" xfId="0" quotePrefix="1" applyFont="1"/>
    <xf numFmtId="0" fontId="0" fillId="9" borderId="0" xfId="0" applyFill="1"/>
    <xf numFmtId="14" fontId="1" fillId="0" borderId="0" xfId="0" applyNumberFormat="1" applyFont="1"/>
    <xf numFmtId="0" fontId="0" fillId="0" borderId="0" xfId="0" quotePrefix="1" applyAlignment="1" applyProtection="1">
      <alignment vertical="center"/>
      <protection locked="0"/>
    </xf>
    <xf numFmtId="0" fontId="6" fillId="0" borderId="0" xfId="0" applyFont="1" applyAlignment="1">
      <alignment vertical="center"/>
    </xf>
    <xf numFmtId="0" fontId="2" fillId="0" borderId="0" xfId="0" applyFont="1"/>
    <xf numFmtId="0" fontId="6" fillId="0" borderId="0" xfId="0" applyFont="1"/>
    <xf numFmtId="0" fontId="6" fillId="7" borderId="22" xfId="0" applyFon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  <protection locked="0"/>
    </xf>
    <xf numFmtId="164" fontId="6" fillId="0" borderId="0" xfId="0" applyNumberFormat="1" applyFont="1" applyAlignment="1" applyProtection="1">
      <alignment vertical="center"/>
      <protection locked="0"/>
    </xf>
    <xf numFmtId="14" fontId="8" fillId="9" borderId="0" xfId="0" applyNumberFormat="1" applyFont="1" applyFill="1"/>
    <xf numFmtId="165" fontId="0" fillId="6" borderId="8" xfId="2" applyFont="1" applyFill="1" applyBorder="1" applyAlignment="1" applyProtection="1">
      <alignment horizontal="right" vertical="center"/>
      <protection locked="0"/>
    </xf>
    <xf numFmtId="165" fontId="0" fillId="0" borderId="27" xfId="2" applyFont="1" applyBorder="1" applyAlignment="1" applyProtection="1">
      <alignment horizontal="right" vertical="center"/>
    </xf>
    <xf numFmtId="167" fontId="8" fillId="9" borderId="0" xfId="0" applyNumberFormat="1" applyFont="1" applyFill="1"/>
    <xf numFmtId="167" fontId="1" fillId="0" borderId="0" xfId="0" applyNumberFormat="1" applyFont="1"/>
    <xf numFmtId="0" fontId="6" fillId="0" borderId="30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6" fillId="3" borderId="33" xfId="0" applyFont="1" applyFill="1" applyBorder="1" applyAlignment="1" applyProtection="1">
      <alignment vertical="center"/>
      <protection locked="0"/>
    </xf>
    <xf numFmtId="0" fontId="0" fillId="3" borderId="34" xfId="0" applyFill="1" applyBorder="1" applyAlignment="1" applyProtection="1">
      <alignment vertical="center"/>
      <protection locked="0"/>
    </xf>
    <xf numFmtId="0" fontId="0" fillId="0" borderId="34" xfId="0" applyBorder="1" applyAlignment="1">
      <alignment vertical="center"/>
    </xf>
    <xf numFmtId="0" fontId="0" fillId="0" borderId="35" xfId="0" applyBorder="1" applyAlignment="1">
      <alignment vertical="center"/>
    </xf>
    <xf numFmtId="0" fontId="6" fillId="3" borderId="30" xfId="0" applyFont="1" applyFill="1" applyBorder="1" applyAlignment="1" applyProtection="1">
      <alignment vertical="center"/>
      <protection locked="0"/>
    </xf>
    <xf numFmtId="0" fontId="0" fillId="3" borderId="31" xfId="0" applyFill="1" applyBorder="1" applyAlignment="1" applyProtection="1">
      <alignment vertical="center"/>
      <protection locked="0"/>
    </xf>
    <xf numFmtId="0" fontId="0" fillId="0" borderId="31" xfId="0" applyBorder="1" applyAlignment="1">
      <alignment vertical="center"/>
    </xf>
    <xf numFmtId="0" fontId="0" fillId="0" borderId="36" xfId="0" applyBorder="1" applyAlignment="1">
      <alignment vertical="center"/>
    </xf>
    <xf numFmtId="0" fontId="0" fillId="3" borderId="37" xfId="0" applyFill="1" applyBorder="1" applyAlignment="1">
      <alignment vertical="center"/>
    </xf>
    <xf numFmtId="0" fontId="0" fillId="3" borderId="38" xfId="0" applyFill="1" applyBorder="1" applyAlignment="1">
      <alignment vertical="center"/>
    </xf>
    <xf numFmtId="0" fontId="0" fillId="0" borderId="38" xfId="0" applyBorder="1" applyAlignment="1">
      <alignment vertical="center"/>
    </xf>
    <xf numFmtId="0" fontId="0" fillId="0" borderId="39" xfId="0" applyBorder="1" applyAlignment="1">
      <alignment vertical="center"/>
    </xf>
    <xf numFmtId="0" fontId="2" fillId="3" borderId="2" xfId="0" applyFont="1" applyFill="1" applyBorder="1" applyAlignment="1">
      <alignment horizontal="center" vertical="center" wrapText="1"/>
    </xf>
    <xf numFmtId="0" fontId="0" fillId="3" borderId="2" xfId="0" applyFill="1" applyBorder="1" applyAlignment="1">
      <alignment vertical="center"/>
    </xf>
  </cellXfs>
  <cellStyles count="3">
    <cellStyle name="Comma" xfId="2" builtinId="3"/>
    <cellStyle name="Normal" xfId="0" builtinId="0"/>
    <cellStyle name="Normal 2" xfId="1" xr:uid="{00000000-0005-0000-0000-00000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100-000000000000}" autoFormatId="0" applyNumberFormats="0" applyBorderFormats="0" applyFontFormats="1" applyPatternFormats="1" applyAlignmentFormats="0" applyWidthHeightFormats="0">
  <queryTableRefresh preserveSortFilterLayout="0" nextId="359">
    <queryTableFields count="87">
      <queryTableField id="1" name="ChannelName"/>
      <queryTableField id="2" name="PaymentMethod"/>
      <queryTableField id="3" name="Type"/>
      <queryTableField id="4" name="Invoice"/>
      <queryTableField id="5" name="InvoiceDate"/>
      <queryTableField id="6" name="OrderDate"/>
      <queryTableField id="7" name="CustName"/>
      <queryTableField id="8" name="CustTerritory"/>
      <queryTableField id="9" name="DealerCode"/>
      <queryTableField id="10" name="MSD"/>
      <queryTableField id="11" name="UserName"/>
      <queryTableField id="12" name="CellPhoneNo"/>
      <queryTableField id="13" name="PortedCTN"/>
      <queryTableField id="14" name="VoicePlan"/>
      <queryTableField id="15" name="DataPlan"/>
      <queryTableField id="16" name="WebOrderID"/>
      <queryTableField id="17" name="Type2"/>
      <queryTableField id="18" name="Qty"/>
      <queryTableField id="19" name="PartNumber"/>
      <queryTableField id="20" name="PartNumberDescription"/>
      <queryTableField id="21" name="IMEIESN"/>
      <queryTableField id="22" name="HdwCost"/>
      <queryTableField id="23" name="HdwSellPrice"/>
      <queryTableField id="24" name="TopUpHdw"/>
      <queryTableField id="25" name="AccessoryCost"/>
      <queryTableField id="26" name="AccessoryPrice"/>
      <queryTableField id="27" name="TopUp Acc"/>
      <queryTableField id="28" name="TopUpTotal"/>
      <queryTableField id="29" name="Fee"/>
      <queryTableField id="30" name="FeeCount"/>
      <queryTableField id="31" name="ARAmount-ARTaxes-CCGrossSale"/>
      <queryTableField id="32" name="RV-UEValue"/>
      <queryTableField id="33" name="HDWChargeToCustomer"/>
      <queryTableField id="34" name="HDWRV-UEValue"/>
      <queryTableField id="35" name="True HDW TopUp"/>
      <queryTableField id="36" name="HDWMargin"/>
      <queryTableField id="37" name="ACCChargeToCx"/>
      <queryTableField id="38" name="AccMargin"/>
      <queryTableField id="39" name="FeePayback"/>
      <queryTableField id="40" name="DealerHDWMargin"/>
      <queryTableField id="41" name="DealerACCMargin"/>
      <queryTableField id="42" name="Group"/>
      <queryTableField id="43" name="ShipToProvince"/>
      <queryTableField id="44" name="SalesBeforeTax"/>
      <queryTableField id="45" name="GST-HST"/>
      <queryTableField id="46" name="PST-QST"/>
      <queryTableField id="47" name="Total"/>
      <queryTableField id="48" name="R4BOrderID"/>
      <queryTableField id="49" name="ReturnClassification"/>
      <queryTableField id="50" name="Comments"/>
      <queryTableField id="51" name="RogersHWMarginShare"/>
      <queryTableField id="52" name="RogersACCMarginShare"/>
      <queryTableField id="53" name="RateTierTransactionCount"/>
      <queryTableField id="54" name="AccSeq"/>
      <queryTableField id="55" name="RDAccUnitCost"/>
      <queryTableField id="56" name="RDAccExtendedCost"/>
      <queryTableField id="57" name="Term"/>
      <queryTableField id="58" name="AccessoryType"/>
      <queryTableField id="59" name="BAN"/>
      <queryTableField id="60" name="AgentName"/>
      <queryTableField id="61" name="AgentEmail"/>
      <queryTableField id="62" name="AgentContactNumber"/>
      <queryTableField id="63" name="BVReceiptCost"/>
      <queryTableField id="64" name="IMEIReceiveAppCost"/>
      <queryTableField id="65" name="NetPriceProtection"/>
      <queryTableField id="66" name="NetIMEIReceiveAppCost"/>
      <queryTableField id="67" name="PPOverpayment"/>
      <queryTableField id="68" name="ReceiptDate1"/>
      <queryTableField id="69" name="Invoice1"/>
      <queryTableField id="70" name="Qty1"/>
      <queryTableField id="71" name="Cost1"/>
      <queryTableField id="72" name="ReceiptDate2"/>
      <queryTableField id="73" name="Invoice2"/>
      <queryTableField id="74" name="Qty2"/>
      <queryTableField id="75" name="Cost2"/>
      <queryTableField id="76" name="ReceiptDate3"/>
      <queryTableField id="77" name="Invoice3"/>
      <queryTableField id="78" name="Qty3"/>
      <queryTableField id="79" name="Cost3"/>
      <queryTableField id="80" name="BVReceiptNo"/>
      <queryTableField id="81" name="BVReceiptNoInt"/>
      <queryTableField id="82" name="BVReceiptQty"/>
      <queryTableField id="83" name="BVReceiptCostAcc"/>
      <queryTableField id="84" name="BVReceiptDate"/>
      <queryTableField id="85" name="RogersInvoiceCost"/>
      <queryTableField id="86" name="DeviceOfferTypeID"/>
      <queryTableField id="87" name="RDType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200-000001000000}" autoFormatId="0" applyNumberFormats="0" applyBorderFormats="0" applyFontFormats="1" applyPatternFormats="1" applyAlignmentFormats="0" applyWidthHeightFormats="0">
  <queryTableRefresh preserveSortFilterLayout="0" nextId="57">
    <queryTableFields count="40">
      <queryTableField id="1" name="ChannelName"/>
      <queryTableField id="2" name="PaymentMethod"/>
      <queryTableField id="3" name="Type"/>
      <queryTableField id="4" name="Invoice"/>
      <queryTableField id="5" name="InvoiceDate"/>
      <queryTableField id="6" name="OrderDate"/>
      <queryTableField id="7" name="CustName"/>
      <queryTableField id="8" name="CustTerritory"/>
      <queryTableField id="9" name="DealerCode"/>
      <queryTableField id="10" name="MSD"/>
      <queryTableField id="11" name="UserName"/>
      <queryTableField id="12" name="CellPhoneNo"/>
      <queryTableField id="13" name="PortedCTN"/>
      <queryTableField id="14" name="VoicePlan"/>
      <queryTableField id="15" name="DataPlan"/>
      <queryTableField id="16" name="WebOrderID"/>
      <queryTableField id="17" name="Type2"/>
      <queryTableField id="18" name="Qty"/>
      <queryTableField id="19" name="PartNumber"/>
      <queryTableField id="20" name="PartNumberDescription"/>
      <queryTableField id="21" name="IMEIESN"/>
      <queryTableField id="22" name="HdwCost"/>
      <queryTableField id="23" name="HdwSellPrice"/>
      <queryTableField id="24" name="TopUpHdw"/>
      <queryTableField id="25" name="Topup Acc"/>
      <queryTableField id="26" name="TopUpTotal"/>
      <queryTableField id="27" name="AccessoryPrice"/>
      <queryTableField id="28" name="Fee"/>
      <queryTableField id="29" name="FeeCount"/>
      <queryTableField id="30" name="GST"/>
      <queryTableField id="31" name="PST"/>
      <queryTableField id="32" name="HST"/>
      <queryTableField id="33" name="QST"/>
      <queryTableField id="34" name="ARAmount"/>
      <queryTableField id="35" name="RV-UEValue"/>
      <queryTableField id="36" name="HDWChargeToCustomer"/>
      <queryTableField id="37" name="HDWRV-UEValue"/>
      <queryTableField id="38" name="True HDW TopUp"/>
      <queryTableField id="39" name="SCOA"/>
      <queryTableField id="40" name="ShipToProvince"/>
    </queryTableFields>
  </queryTableRefresh>
</query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50"/>
  <sheetViews>
    <sheetView tabSelected="1" zoomScaleNormal="100" workbookViewId="0">
      <selection activeCell="P7" sqref="P7"/>
    </sheetView>
  </sheetViews>
  <sheetFormatPr defaultColWidth="8.81640625" defaultRowHeight="12.5" x14ac:dyDescent="0.25"/>
  <cols>
    <col min="1" max="1" width="8.1796875" style="2" customWidth="1"/>
    <col min="2" max="2" width="24" style="2" customWidth="1"/>
    <col min="3" max="3" width="15.1796875" style="2" customWidth="1"/>
    <col min="4" max="4" width="14.81640625" style="2" bestFit="1" customWidth="1"/>
    <col min="5" max="5" width="13.54296875" style="2" bestFit="1" customWidth="1"/>
    <col min="6" max="6" width="11.81640625" style="2" customWidth="1"/>
    <col min="7" max="7" width="15.453125" style="2" bestFit="1" customWidth="1"/>
    <col min="8" max="8" width="12.54296875" style="2" customWidth="1"/>
    <col min="9" max="9" width="13" style="2" bestFit="1" customWidth="1"/>
    <col min="10" max="10" width="15.1796875" style="2" bestFit="1" customWidth="1"/>
    <col min="11" max="11" width="24.54296875" style="2" hidden="1" customWidth="1"/>
    <col min="12" max="12" width="7" style="2" hidden="1" customWidth="1"/>
    <col min="13" max="14" width="7.26953125" style="1" hidden="1" customWidth="1"/>
    <col min="15" max="15" width="9.1796875" style="2" customWidth="1"/>
    <col min="16" max="16" width="10.7265625" style="2" customWidth="1"/>
    <col min="17" max="16384" width="8.81640625" style="2"/>
  </cols>
  <sheetData>
    <row r="1" spans="1:19" ht="13" thickTop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5"/>
      <c r="N1" s="45"/>
      <c r="O1" s="46"/>
    </row>
    <row r="2" spans="1:19" ht="23" x14ac:dyDescent="0.25">
      <c r="A2" s="47"/>
      <c r="B2" s="87" t="s">
        <v>7</v>
      </c>
      <c r="C2" s="87"/>
      <c r="D2" s="87"/>
      <c r="E2" s="87"/>
      <c r="F2" s="87"/>
      <c r="G2" s="87"/>
      <c r="H2" s="87"/>
      <c r="I2" s="87"/>
      <c r="J2" s="87"/>
      <c r="K2" s="87"/>
      <c r="L2" s="87"/>
      <c r="O2" s="48"/>
    </row>
    <row r="3" spans="1:19" ht="22.15" customHeight="1" x14ac:dyDescent="0.25">
      <c r="A3" s="47"/>
      <c r="B3" s="88" t="s">
        <v>29</v>
      </c>
      <c r="C3" s="88"/>
      <c r="D3" s="88"/>
      <c r="E3" s="88"/>
      <c r="F3" s="88"/>
      <c r="G3" s="88"/>
      <c r="H3" s="88"/>
      <c r="I3" s="88"/>
      <c r="J3" s="88"/>
      <c r="K3" s="88"/>
      <c r="L3" s="88"/>
      <c r="O3" s="48"/>
      <c r="Q3" s="72"/>
    </row>
    <row r="4" spans="1:19" ht="13" thickBot="1" x14ac:dyDescent="0.3">
      <c r="A4" s="47"/>
      <c r="B4" s="37"/>
      <c r="C4" s="49"/>
      <c r="D4" s="49"/>
      <c r="E4" s="49"/>
      <c r="F4" s="49"/>
      <c r="G4" s="49"/>
      <c r="H4" s="49"/>
      <c r="I4" s="49"/>
      <c r="J4" s="49"/>
      <c r="L4" s="61" t="s">
        <v>88</v>
      </c>
      <c r="M4" s="1">
        <v>25</v>
      </c>
      <c r="O4" s="48"/>
      <c r="Q4" s="61"/>
      <c r="R4" s="1"/>
      <c r="S4" s="1"/>
    </row>
    <row r="5" spans="1:19" ht="13" x14ac:dyDescent="0.25">
      <c r="A5" s="47"/>
      <c r="B5" s="56" t="s">
        <v>8</v>
      </c>
      <c r="C5" s="89" t="s">
        <v>88</v>
      </c>
      <c r="D5" s="90"/>
      <c r="E5" s="91"/>
      <c r="F5" s="92"/>
      <c r="G5" s="37"/>
      <c r="H5" s="37"/>
      <c r="I5" s="37"/>
      <c r="J5" s="37"/>
      <c r="L5" s="2" t="s">
        <v>140</v>
      </c>
      <c r="M5" s="1">
        <v>0</v>
      </c>
      <c r="O5" s="48"/>
      <c r="R5" s="1"/>
      <c r="S5" s="1"/>
    </row>
    <row r="6" spans="1:19" ht="13" x14ac:dyDescent="0.25">
      <c r="A6" s="47"/>
      <c r="B6" s="34" t="s">
        <v>28</v>
      </c>
      <c r="C6" s="93" t="s">
        <v>228</v>
      </c>
      <c r="D6" s="94"/>
      <c r="E6" s="95"/>
      <c r="F6" s="96"/>
      <c r="G6" s="37"/>
      <c r="H6" s="37"/>
      <c r="I6" s="37"/>
      <c r="J6" s="37"/>
      <c r="L6" s="2" t="s">
        <v>89</v>
      </c>
      <c r="M6" s="1">
        <v>9</v>
      </c>
      <c r="O6" s="48"/>
      <c r="R6" s="1"/>
      <c r="S6" s="1"/>
    </row>
    <row r="7" spans="1:19" ht="13.5" thickBot="1" x14ac:dyDescent="0.3">
      <c r="A7" s="47"/>
      <c r="B7" s="35" t="s">
        <v>33</v>
      </c>
      <c r="C7" s="97" t="str">
        <f>"FFF "&amp;C6&amp;" -  "&amp;C5</f>
        <v>FFF Mar 01-31, 2024 -  BCC</v>
      </c>
      <c r="D7" s="98"/>
      <c r="E7" s="99"/>
      <c r="F7" s="100"/>
      <c r="G7" s="37"/>
      <c r="H7" s="37"/>
      <c r="I7" s="37"/>
      <c r="J7" s="37"/>
      <c r="L7" s="2" t="s">
        <v>90</v>
      </c>
      <c r="M7" s="1">
        <v>7</v>
      </c>
      <c r="O7" s="48"/>
      <c r="R7" s="1"/>
      <c r="S7" s="1"/>
    </row>
    <row r="8" spans="1:19" ht="13" thickBot="1" x14ac:dyDescent="0.3">
      <c r="A8" s="47"/>
      <c r="B8" s="37"/>
      <c r="C8" s="49"/>
      <c r="D8" s="49"/>
      <c r="E8" s="49"/>
      <c r="F8" s="49"/>
      <c r="G8" s="37"/>
      <c r="H8" s="37"/>
      <c r="I8" s="37"/>
      <c r="J8" s="37"/>
      <c r="L8" s="2" t="s">
        <v>91</v>
      </c>
      <c r="M8" s="1">
        <v>25</v>
      </c>
      <c r="O8" s="48"/>
      <c r="R8" s="1"/>
      <c r="S8" s="1"/>
    </row>
    <row r="9" spans="1:19" ht="13" x14ac:dyDescent="0.25">
      <c r="A9" s="47"/>
      <c r="B9" s="28" t="s">
        <v>30</v>
      </c>
      <c r="C9" s="8" t="s">
        <v>2</v>
      </c>
      <c r="D9" s="8" t="s">
        <v>14</v>
      </c>
      <c r="E9" s="8" t="s">
        <v>18</v>
      </c>
      <c r="F9" s="8" t="s">
        <v>15</v>
      </c>
      <c r="G9" s="33" t="s">
        <v>12</v>
      </c>
      <c r="H9" s="38"/>
      <c r="I9" s="39"/>
      <c r="J9" s="40"/>
      <c r="K9" s="3"/>
      <c r="L9" s="2" t="s">
        <v>92</v>
      </c>
      <c r="M9" s="1">
        <v>7</v>
      </c>
      <c r="O9" s="48"/>
      <c r="R9" s="1"/>
      <c r="S9" s="1"/>
    </row>
    <row r="10" spans="1:19" ht="13" thickBot="1" x14ac:dyDescent="0.3">
      <c r="A10" s="76"/>
      <c r="B10" s="25" t="s">
        <v>31</v>
      </c>
      <c r="C10" s="80">
        <f>DSUM(Details,"FeeCount",CriteriaAcq)</f>
        <v>0</v>
      </c>
      <c r="D10" s="80">
        <f>DSUM(Details,"FeeCount",CriteriaHUP)</f>
        <v>0</v>
      </c>
      <c r="E10" s="80">
        <f>DSUM(Details,"FeeCount",CriteriaAcc)</f>
        <v>0</v>
      </c>
      <c r="F10" s="80">
        <f>DSUM(Details,"FeeCount",CriteriaReturn)</f>
        <v>0</v>
      </c>
      <c r="G10" s="81">
        <f>SUM(C10:F10)</f>
        <v>0</v>
      </c>
      <c r="H10" s="41"/>
      <c r="I10" s="42"/>
      <c r="J10" s="42"/>
      <c r="K10" s="4"/>
      <c r="L10" s="2" t="s">
        <v>121</v>
      </c>
      <c r="M10" s="1">
        <v>12</v>
      </c>
      <c r="N10" s="1" t="s">
        <v>164</v>
      </c>
      <c r="O10" s="48"/>
      <c r="Q10" s="61"/>
      <c r="R10" s="1"/>
      <c r="S10" s="1"/>
    </row>
    <row r="11" spans="1:19" ht="13" thickBot="1" x14ac:dyDescent="0.3">
      <c r="A11" s="47"/>
      <c r="B11" s="37"/>
      <c r="C11" s="42"/>
      <c r="D11" s="42"/>
      <c r="E11" s="42"/>
      <c r="F11" s="42"/>
      <c r="G11" s="42"/>
      <c r="H11" s="42"/>
      <c r="I11" s="42"/>
      <c r="J11" s="42"/>
      <c r="K11" s="4"/>
      <c r="L11" s="2" t="s">
        <v>163</v>
      </c>
      <c r="M11" s="1">
        <v>0</v>
      </c>
      <c r="O11" s="48"/>
      <c r="R11" s="1"/>
      <c r="S11" s="1"/>
    </row>
    <row r="12" spans="1:19" ht="26" x14ac:dyDescent="0.25">
      <c r="A12" s="47"/>
      <c r="B12" s="28" t="s">
        <v>32</v>
      </c>
      <c r="C12" s="8" t="s">
        <v>2</v>
      </c>
      <c r="D12" s="8" t="s">
        <v>14</v>
      </c>
      <c r="E12" s="8" t="s">
        <v>18</v>
      </c>
      <c r="F12" s="8" t="s">
        <v>15</v>
      </c>
      <c r="G12" s="7" t="s">
        <v>26</v>
      </c>
      <c r="H12" s="8" t="s">
        <v>0</v>
      </c>
      <c r="I12" s="8" t="s">
        <v>61</v>
      </c>
      <c r="J12" s="9" t="s">
        <v>22</v>
      </c>
      <c r="K12" s="3"/>
      <c r="L12" s="2" t="s">
        <v>93</v>
      </c>
      <c r="M12" s="1">
        <v>12</v>
      </c>
      <c r="N12" s="1" t="s">
        <v>166</v>
      </c>
      <c r="O12" s="48"/>
      <c r="R12" s="1"/>
      <c r="S12" s="1"/>
    </row>
    <row r="13" spans="1:19" x14ac:dyDescent="0.25">
      <c r="A13" s="47"/>
      <c r="B13" s="24" t="s">
        <v>9</v>
      </c>
      <c r="C13" s="30">
        <f>IF(C5="RDDealer",0,IF(C5="RPP",DSUM(Details,"Fee",CriteriaRPPAcqAcc),IF(C5="RDS",DSUM(Details,"Fee",CriteriaRDSAcqAcc),DSUM(Details,"Fee",CriteriaAcq))))</f>
        <v>0</v>
      </c>
      <c r="D13" s="30">
        <f>IF(C5="RDDealer",0,IF(C5="RPP",DSUM(Details,"Fee",CriteriaRPPHUPAcc),IF(C5="RDS",DSUM(Details,"Fee",CriteriaRDSHUPAcc),DSUM(Details,"Fee",CriteriaHUP))))</f>
        <v>0</v>
      </c>
      <c r="E13" s="30">
        <f>IF(C5="RDDealer",0,IF(C5="RPP",DSUM(Details,"Fee",CriteriaRPPAccAcc),IF(C5="RDS",DSUM(Details,"Fee",CriteriaRDSAccAcc),DSUM(Details,"Fee",CriteriaAcc))))</f>
        <v>0</v>
      </c>
      <c r="F13" s="30">
        <f>IF(C5="RDDealer",DSUM(Details,"Fee",CriteriaRDDAccReturn),IF(C5="RPP",DSUM(Details,"Fee",CriteriaRPPReturnAcc),IF(C5="RDS",DSUM(Details,"Fee",CriteriaRDSReturnAcc),DSUM(Details,"Fee",CriteriaReturn))))</f>
        <v>0</v>
      </c>
      <c r="G13" s="10">
        <f t="shared" ref="G13:G20" si="0">SUM(C13:F13)</f>
        <v>0</v>
      </c>
      <c r="H13" s="10">
        <f>+(G13*0.05)*0</f>
        <v>0</v>
      </c>
      <c r="I13" s="10">
        <f>+G13*0.13</f>
        <v>0</v>
      </c>
      <c r="J13" s="11">
        <f>SUM(G13:I13)</f>
        <v>0</v>
      </c>
      <c r="K13" s="4"/>
      <c r="L13" s="2" t="s">
        <v>165</v>
      </c>
      <c r="M13" s="1">
        <v>0</v>
      </c>
      <c r="O13" s="48"/>
      <c r="P13" s="77"/>
      <c r="Q13" s="61"/>
      <c r="R13" s="1"/>
      <c r="S13" s="1"/>
    </row>
    <row r="14" spans="1:19" x14ac:dyDescent="0.25">
      <c r="A14" s="76"/>
      <c r="B14" s="24" t="s">
        <v>167</v>
      </c>
      <c r="C14" s="30">
        <f>-DSUM(Details,"FeePayback",CriteriaAcq)*0</f>
        <v>0</v>
      </c>
      <c r="D14" s="30">
        <f>-DSUM(Details,"FeePayback",CriteriaHUP)*0</f>
        <v>0</v>
      </c>
      <c r="E14" s="30">
        <f>-DSUM(Details,"FeePayback",CriteriaAcc)*0</f>
        <v>0</v>
      </c>
      <c r="F14" s="30">
        <f>-DSUM(Details,"FeePayback",CriteriaReturn)*0</f>
        <v>0</v>
      </c>
      <c r="G14" s="10">
        <f t="shared" si="0"/>
        <v>0</v>
      </c>
      <c r="H14" s="10">
        <f>+(G14*0.05)*0</f>
        <v>0</v>
      </c>
      <c r="I14" s="10">
        <f>+G14*0.13</f>
        <v>0</v>
      </c>
      <c r="J14" s="11">
        <f t="shared" ref="J14:J21" si="1">SUM(G14:I14)</f>
        <v>0</v>
      </c>
      <c r="K14" s="4"/>
      <c r="L14" s="61" t="s">
        <v>63</v>
      </c>
      <c r="M14" s="1">
        <v>9</v>
      </c>
      <c r="N14" s="1" t="s">
        <v>169</v>
      </c>
      <c r="O14" s="48"/>
      <c r="P14" s="77"/>
      <c r="Q14" s="61"/>
      <c r="R14" s="1"/>
      <c r="S14" s="1"/>
    </row>
    <row r="15" spans="1:19" x14ac:dyDescent="0.25">
      <c r="A15" s="47"/>
      <c r="B15" s="24" t="s">
        <v>10</v>
      </c>
      <c r="C15" s="30">
        <f>IF(C5="RDDealer",DSUM(Details,"TopUpTotal",CriteriaRDDAcqAcc)+DSUM(Details,"TopUpTotal",CriteriaRDDAcqHdwOnly),IF(C5="RPP",DSUM(Details,"TopUpTotal",CriteriaRPPAcqAcc),IF(C5="RDS",DSUM(Details,"TopUpTotal",CriteriaRDSAcqAcc),DSUM(Details,"TopUpTotal",CriteriaAcq))))</f>
        <v>0</v>
      </c>
      <c r="D15" s="30">
        <f>IF(C5="RDDealer",DSUM(Details,"TopUpTotal",CriteriaRDDHUPAcc)+DSUM(Details,"TopUpHdw",CriteriaRDDHUPHdwOnly),IF(C5="RPP",DSUM(Details,"TopUpTotal",CriteriaRPPHUPAcc),IF(C5="RDS",DSUM(Details,"TopUpTotal",CriteriaRDSHUPAcc),DSUM(Details,"TopUpTotal",CriteriaHUP))))</f>
        <v>0</v>
      </c>
      <c r="E15" s="30">
        <f>IF(C5="RDDealer",DSUM(Details,"TopUpTotal",CriteriaRDDAccAcc)+DSUM(Details,"TopUpTotal",CriteriaRDDAccHdwOnly),IF(C5="RPP",DSUM(Details,"TopUpTotal",CriteriaRPPAccAcc),IF(C5="RDS",DSUM(Details,"TopUpTotal",CriteriaRDSAccAcc),DSUM(Details,"TopUpTotal",CriteriaAcc))))</f>
        <v>0</v>
      </c>
      <c r="F15" s="30">
        <f>IF(C5="RDDealer",DSUM(Details,"TopUpTotal",CriteriaRDDReturnAcc)+DSUM(Details,"TopUpTotal",CriteriaRDDReturnHdwOnly),IF(C5="RPP",DSUM(Details,"TopUpTotal",CriteriaRPPReturnAcc),IF(C5="RDS",DSUM(Details,"TopUpTotal",CriteriaRDSReturnAcc),DSUM(Details,"TopUpTotal",CriteriaReturn))))</f>
        <v>0</v>
      </c>
      <c r="G15" s="10">
        <f t="shared" si="0"/>
        <v>0</v>
      </c>
      <c r="H15" s="10">
        <f>+(G15*0.05)*0</f>
        <v>0</v>
      </c>
      <c r="I15" s="10">
        <f>+G15*0.13</f>
        <v>0</v>
      </c>
      <c r="J15" s="11">
        <f t="shared" si="1"/>
        <v>0</v>
      </c>
      <c r="K15" s="4"/>
      <c r="L15" s="2" t="s">
        <v>168</v>
      </c>
      <c r="M15" s="1">
        <v>0</v>
      </c>
      <c r="O15" s="48"/>
      <c r="P15" s="77"/>
      <c r="R15" s="1"/>
      <c r="S15" s="1"/>
    </row>
    <row r="16" spans="1:19" x14ac:dyDescent="0.25">
      <c r="A16" s="76"/>
      <c r="B16" s="24" t="s">
        <v>138</v>
      </c>
      <c r="C16" s="30">
        <f>DSUM(Details,"RV-UEValue",CriteriaAcq)</f>
        <v>0</v>
      </c>
      <c r="D16" s="30">
        <f>DSUM(Details,"RV-UEValue",CriteriaHUP)</f>
        <v>0</v>
      </c>
      <c r="E16" s="30">
        <f>DSUM(Details,"RV-UEValue",CriteriaAcc)</f>
        <v>0</v>
      </c>
      <c r="F16" s="30">
        <f>DSUM(Details,"RV-UEValue",CriteriaReturn)</f>
        <v>0</v>
      </c>
      <c r="G16" s="10">
        <f t="shared" si="0"/>
        <v>0</v>
      </c>
      <c r="H16" s="10">
        <f>+G16*0</f>
        <v>0</v>
      </c>
      <c r="I16" s="10">
        <f>+G16*0</f>
        <v>0</v>
      </c>
      <c r="J16" s="11">
        <f t="shared" si="1"/>
        <v>0</v>
      </c>
      <c r="K16" s="4"/>
      <c r="L16" s="2" t="s">
        <v>221</v>
      </c>
      <c r="M16" s="1">
        <v>0</v>
      </c>
      <c r="O16" s="48"/>
      <c r="P16" s="78"/>
      <c r="R16" s="1"/>
      <c r="S16" s="1"/>
    </row>
    <row r="17" spans="1:16" x14ac:dyDescent="0.25">
      <c r="A17" s="76"/>
      <c r="B17" s="23" t="s">
        <v>202</v>
      </c>
      <c r="C17" s="30">
        <f>IF(C5="RDDEALER",DSUM(Details,"HDWMargin",CriteriaRDDAcqHdwOnly)-DSUM(Details,"RogersHWMarginShare",CriteriaRDDAcqHdwOnly),0)</f>
        <v>0</v>
      </c>
      <c r="D17" s="30">
        <f>IF(C5="RDDEALER",DSUM(Details,"HDWMargin",CriteriaRDDHUPHdwOnly)-DSUM(Details,"RogersHWMarginShare",CriteriaRDDHUPHdwOnly),0)</f>
        <v>0</v>
      </c>
      <c r="E17" s="30">
        <f>IF(C5="RDDEALER",DSUM(Details,"HDWMargin",CriteriaRDDAccHdwOnly)-DSUM(Details,"RogersHWMarginShare",CriteriaRDDAccHdwOnly),0)</f>
        <v>0</v>
      </c>
      <c r="F17" s="30">
        <f>IF(C5="RDDEALER",DSUM(Details,"HDWMargin",CriteriaRDDReturnHdwOnly)-DSUM(Details,"RogersHWMarginShare",CriteriaRDDReturnHdwOnly),0)</f>
        <v>0</v>
      </c>
      <c r="G17" s="10">
        <f t="shared" si="0"/>
        <v>0</v>
      </c>
      <c r="H17" s="10">
        <f>+(G17*0.05)*0</f>
        <v>0</v>
      </c>
      <c r="I17" s="10">
        <f>+G17*0.13</f>
        <v>0</v>
      </c>
      <c r="J17" s="11">
        <f t="shared" si="1"/>
        <v>0</v>
      </c>
      <c r="K17" s="4"/>
      <c r="L17" s="61" t="s">
        <v>170</v>
      </c>
      <c r="M17" s="1">
        <v>0</v>
      </c>
      <c r="O17" s="48"/>
      <c r="P17" s="78"/>
    </row>
    <row r="18" spans="1:16" x14ac:dyDescent="0.25">
      <c r="A18" s="76"/>
      <c r="B18" s="23" t="s">
        <v>203</v>
      </c>
      <c r="C18" s="30">
        <f>IF(C5="RDDEALER",DSUM(Details,"AccMargin",CriteriaRDDAcqAcc)-DSUM(Details,"RogersACCMarginShare",CriteriaRDDAcqAcc),0)</f>
        <v>0</v>
      </c>
      <c r="D18" s="30">
        <f>IF(C5="RDDEALER",DSUM(Details,"AccMargin",CriteriaRDDHUPAcc)-DSUM(Details,"RogersACCMarginShare",CriteriaRDDHUPAcc),0)</f>
        <v>0</v>
      </c>
      <c r="E18" s="30">
        <f>IF(C5="RDDEALER",DSUM(Details,"AccMargin",CriteriaRDDAccAcc)-DSUM(Details,"RogersACCMarginShare",CriteriaRDDAccAcc),0)</f>
        <v>0</v>
      </c>
      <c r="F18" s="30">
        <f>IF(C5="RDDEALER",DSUM(Details,"AccMargin",CriteriaRDDReturnAcc)-DSUM(Details,"RogersACCMarginShare",CriteriaRDDReturnAcc),0)</f>
        <v>0</v>
      </c>
      <c r="G18" s="10">
        <f t="shared" si="0"/>
        <v>0</v>
      </c>
      <c r="H18" s="10">
        <f>+(G18*0.05)*0</f>
        <v>0</v>
      </c>
      <c r="I18" s="10">
        <f>+G18*0.13</f>
        <v>0</v>
      </c>
      <c r="J18" s="11">
        <f t="shared" si="1"/>
        <v>0</v>
      </c>
      <c r="K18" s="4"/>
      <c r="L18" s="61" t="s">
        <v>231</v>
      </c>
      <c r="M18" s="1">
        <v>0</v>
      </c>
      <c r="O18" s="48"/>
      <c r="P18" s="78"/>
    </row>
    <row r="19" spans="1:16" x14ac:dyDescent="0.25">
      <c r="A19" s="76"/>
      <c r="B19" s="24" t="s">
        <v>11</v>
      </c>
      <c r="C19" s="30">
        <f>DSUM(Details,"ARAmount-ARTaxes-CCGrossSale",CriteriaAcq)</f>
        <v>0</v>
      </c>
      <c r="D19" s="30">
        <f>DSUM(Details,"ARAmount-ARTaxes-CCGrossSale",CriteriaHUP)</f>
        <v>0</v>
      </c>
      <c r="E19" s="30">
        <f>DSUM(Details,"ARAmount-ARTaxes-CCGrossSale",CriteriaAcc)</f>
        <v>0</v>
      </c>
      <c r="F19" s="30">
        <f>DSUM(Details,"ARAmount-ARTaxes-CCGrossSale",CriteriaReturn)</f>
        <v>0</v>
      </c>
      <c r="G19" s="10">
        <f t="shared" si="0"/>
        <v>0</v>
      </c>
      <c r="H19" s="10">
        <f>+G19*0</f>
        <v>0</v>
      </c>
      <c r="I19" s="10">
        <f>+G19*0</f>
        <v>0</v>
      </c>
      <c r="J19" s="11">
        <f t="shared" si="1"/>
        <v>0</v>
      </c>
      <c r="K19" s="4"/>
      <c r="L19" s="61" t="s">
        <v>222</v>
      </c>
      <c r="M19" s="1">
        <v>0</v>
      </c>
      <c r="O19" s="48"/>
      <c r="P19" s="77"/>
    </row>
    <row r="20" spans="1:16" ht="13" thickBot="1" x14ac:dyDescent="0.3">
      <c r="A20" s="47"/>
      <c r="B20" s="29" t="s">
        <v>17</v>
      </c>
      <c r="C20" s="31">
        <v>0</v>
      </c>
      <c r="D20" s="5"/>
      <c r="E20" s="5"/>
      <c r="F20" s="5"/>
      <c r="G20" s="10">
        <f t="shared" si="0"/>
        <v>0</v>
      </c>
      <c r="H20" s="12"/>
      <c r="I20" s="59"/>
      <c r="J20" s="11">
        <f t="shared" si="1"/>
        <v>0</v>
      </c>
      <c r="K20" s="4"/>
      <c r="O20" s="48"/>
      <c r="P20" s="77"/>
    </row>
    <row r="21" spans="1:16" ht="13.5" thickBot="1" x14ac:dyDescent="0.3">
      <c r="A21" s="47"/>
      <c r="B21" s="27" t="s">
        <v>12</v>
      </c>
      <c r="C21" s="13">
        <f t="shared" ref="C21:I21" si="2">SUM(C13:C20)</f>
        <v>0</v>
      </c>
      <c r="D21" s="13">
        <f t="shared" si="2"/>
        <v>0</v>
      </c>
      <c r="E21" s="13">
        <f t="shared" si="2"/>
        <v>0</v>
      </c>
      <c r="F21" s="13">
        <f t="shared" si="2"/>
        <v>0</v>
      </c>
      <c r="G21" s="13">
        <f t="shared" si="2"/>
        <v>0</v>
      </c>
      <c r="H21" s="13">
        <f t="shared" si="2"/>
        <v>0</v>
      </c>
      <c r="I21" s="13">
        <f t="shared" si="2"/>
        <v>0</v>
      </c>
      <c r="J21" s="14">
        <f t="shared" si="1"/>
        <v>0</v>
      </c>
      <c r="K21" s="4"/>
      <c r="O21" s="48"/>
      <c r="P21" s="77"/>
    </row>
    <row r="22" spans="1:16" x14ac:dyDescent="0.25">
      <c r="A22" s="47"/>
      <c r="B22" s="37"/>
      <c r="C22" s="42"/>
      <c r="D22" s="42"/>
      <c r="E22" s="42"/>
      <c r="F22" s="42"/>
      <c r="G22" s="42"/>
      <c r="H22" s="42"/>
      <c r="I22" s="42"/>
      <c r="J22" s="42"/>
      <c r="K22" s="4"/>
      <c r="O22" s="48"/>
    </row>
    <row r="23" spans="1:16" ht="13" thickBot="1" x14ac:dyDescent="0.3">
      <c r="A23" s="50"/>
      <c r="B23" s="37"/>
      <c r="C23" s="42"/>
      <c r="D23" s="42"/>
      <c r="E23" s="42"/>
      <c r="F23" s="42"/>
      <c r="G23" s="42"/>
      <c r="H23" s="42"/>
      <c r="I23" s="42"/>
      <c r="J23" s="42"/>
      <c r="K23" s="4"/>
      <c r="O23" s="48"/>
    </row>
    <row r="24" spans="1:16" ht="13.5" thickBot="1" x14ac:dyDescent="0.3">
      <c r="A24" s="50"/>
      <c r="B24" s="21" t="s">
        <v>16</v>
      </c>
      <c r="C24" s="37"/>
      <c r="D24" s="37"/>
      <c r="E24" s="37"/>
      <c r="F24" s="37"/>
      <c r="G24" s="37"/>
      <c r="H24" s="37"/>
      <c r="I24" s="37"/>
      <c r="J24" s="37"/>
      <c r="K24" s="4"/>
      <c r="O24" s="48"/>
    </row>
    <row r="25" spans="1:16" ht="26" x14ac:dyDescent="0.25">
      <c r="A25" s="50"/>
      <c r="B25" s="22" t="s">
        <v>19</v>
      </c>
      <c r="C25" s="101" t="s">
        <v>20</v>
      </c>
      <c r="D25" s="101"/>
      <c r="E25" s="101"/>
      <c r="F25" s="102"/>
      <c r="G25" s="7" t="s">
        <v>23</v>
      </c>
      <c r="H25" s="7" t="s">
        <v>21</v>
      </c>
      <c r="I25" s="7" t="s">
        <v>27</v>
      </c>
      <c r="J25" s="9" t="s">
        <v>22</v>
      </c>
      <c r="L25" s="2" t="s">
        <v>36</v>
      </c>
      <c r="O25" s="48"/>
    </row>
    <row r="26" spans="1:16" x14ac:dyDescent="0.25">
      <c r="A26" s="50"/>
      <c r="B26" s="23" t="s">
        <v>4</v>
      </c>
      <c r="C26" s="84" t="str">
        <f t="array" ref="C26">+INDEX('GL Coding Chart'!A:C,MATCH(Invoice!$C$5&amp;Invoice!B26,'GL Coding Chart'!A:A&amp;'GL Coding Chart'!B:B,0),3)</f>
        <v>534.1101.1140.0000.63010.025.0000.0000.000</v>
      </c>
      <c r="D26" s="85"/>
      <c r="E26" s="85"/>
      <c r="F26" s="86"/>
      <c r="G26" s="15">
        <f>SUM(C13,E13:F13)</f>
        <v>0</v>
      </c>
      <c r="H26" s="60" t="s">
        <v>62</v>
      </c>
      <c r="I26" s="15">
        <f>+G26*0.13</f>
        <v>0</v>
      </c>
      <c r="J26" s="16">
        <f t="shared" ref="J26:J39" si="3">SUM(I26,G26)</f>
        <v>0</v>
      </c>
      <c r="K26" s="65"/>
      <c r="L26" s="2" t="s">
        <v>38</v>
      </c>
      <c r="O26" s="48"/>
    </row>
    <row r="27" spans="1:16" ht="11.25" customHeight="1" x14ac:dyDescent="0.25">
      <c r="A27" s="50"/>
      <c r="B27" s="23" t="s">
        <v>5</v>
      </c>
      <c r="C27" s="84" t="str">
        <f t="array" ref="C27">+INDEX('GL Coding Chart'!A:C,MATCH(Invoice!$C$5&amp;Invoice!B27,'GL Coding Chart'!A:A&amp;'GL Coding Chart'!B:B,0),3)</f>
        <v>534.1101.1140.9999.63010.025.0000.0000.000</v>
      </c>
      <c r="D27" s="85"/>
      <c r="E27" s="85"/>
      <c r="F27" s="86"/>
      <c r="G27" s="15">
        <f>SUM(D13)</f>
        <v>0</v>
      </c>
      <c r="H27" s="60" t="s">
        <v>62</v>
      </c>
      <c r="I27" s="15">
        <f>+G27*0.13</f>
        <v>0</v>
      </c>
      <c r="J27" s="16">
        <f t="shared" si="3"/>
        <v>0</v>
      </c>
      <c r="K27" s="65"/>
      <c r="L27" s="2" t="s">
        <v>37</v>
      </c>
      <c r="O27" s="48"/>
    </row>
    <row r="28" spans="1:16" x14ac:dyDescent="0.25">
      <c r="A28" s="50"/>
      <c r="B28" s="24" t="s">
        <v>171</v>
      </c>
      <c r="C28" s="84" t="str">
        <f t="array" ref="C28">+INDEX('GL Coding Chart'!A:C,MATCH(Invoice!$C$5&amp;Invoice!B28,'GL Coding Chart'!A:A&amp;'GL Coding Chart'!B:B,0),3)</f>
        <v>534.1101.1140.0000.63010.025.0000.0000.000</v>
      </c>
      <c r="D28" s="85"/>
      <c r="E28" s="85"/>
      <c r="F28" s="86"/>
      <c r="G28" s="15">
        <f>SUM(C14,E14:F14)</f>
        <v>0</v>
      </c>
      <c r="H28" s="60" t="s">
        <v>62</v>
      </c>
      <c r="I28" s="15">
        <f>+G28*0.13</f>
        <v>0</v>
      </c>
      <c r="J28" s="16">
        <f t="shared" si="3"/>
        <v>0</v>
      </c>
      <c r="K28" s="65"/>
      <c r="O28" s="48"/>
    </row>
    <row r="29" spans="1:16" x14ac:dyDescent="0.25">
      <c r="A29" s="50"/>
      <c r="B29" s="23" t="s">
        <v>172</v>
      </c>
      <c r="C29" s="84" t="str">
        <f t="array" ref="C29">+INDEX('GL Coding Chart'!A:C,MATCH(Invoice!$C$5&amp;Invoice!B29,'GL Coding Chart'!A:A&amp;'GL Coding Chart'!B:B,0),3)</f>
        <v>534.1101.1140.9999.63010.025.0000.0000.000</v>
      </c>
      <c r="D29" s="85"/>
      <c r="E29" s="85"/>
      <c r="F29" s="86"/>
      <c r="G29" s="15">
        <f>SUM(D14)</f>
        <v>0</v>
      </c>
      <c r="H29" s="60" t="s">
        <v>62</v>
      </c>
      <c r="I29" s="15">
        <f>+G29*0.13</f>
        <v>0</v>
      </c>
      <c r="J29" s="16">
        <f t="shared" si="3"/>
        <v>0</v>
      </c>
      <c r="K29" s="65"/>
      <c r="O29" s="48"/>
    </row>
    <row r="30" spans="1:16" x14ac:dyDescent="0.25">
      <c r="A30" s="50"/>
      <c r="B30" s="23" t="s">
        <v>17</v>
      </c>
      <c r="C30" s="84" t="str">
        <f t="array" ref="C30">+INDEX('GL Coding Chart'!A:C,MATCH(Invoice!$C$5&amp;Invoice!B30,'GL Coding Chart'!A:A&amp;'GL Coding Chart'!B:B,0),3)</f>
        <v>534.1101.1140.1014.63010.025.0000.0000.000</v>
      </c>
      <c r="D30" s="85"/>
      <c r="E30" s="85"/>
      <c r="F30" s="86"/>
      <c r="G30" s="15">
        <f>SUM(C20)</f>
        <v>0</v>
      </c>
      <c r="H30" s="32" t="s">
        <v>204</v>
      </c>
      <c r="I30" s="15">
        <f>+G30*0</f>
        <v>0</v>
      </c>
      <c r="J30" s="16">
        <f t="shared" si="3"/>
        <v>0</v>
      </c>
      <c r="K30" s="65"/>
      <c r="O30" s="48"/>
    </row>
    <row r="31" spans="1:16" x14ac:dyDescent="0.25">
      <c r="A31" s="50"/>
      <c r="B31" s="24" t="s">
        <v>24</v>
      </c>
      <c r="C31" s="84" t="str">
        <f t="array" ref="C31">+INDEX('GL Coding Chart'!A:C,MATCH(Invoice!$C$5&amp;Invoice!B31,'GL Coding Chart'!A:A&amp;'GL Coding Chart'!B:B,0),3)</f>
        <v>534.2100.0000.1014.47108.025.0000.0000.000</v>
      </c>
      <c r="D31" s="85"/>
      <c r="E31" s="85"/>
      <c r="F31" s="86"/>
      <c r="G31" s="15">
        <f>SUM(C15,E15:F15)</f>
        <v>0</v>
      </c>
      <c r="H31" s="60" t="s">
        <v>62</v>
      </c>
      <c r="I31" s="15">
        <f>+G31*0.13</f>
        <v>0</v>
      </c>
      <c r="J31" s="16">
        <f t="shared" si="3"/>
        <v>0</v>
      </c>
      <c r="K31" s="65"/>
      <c r="O31" s="48"/>
    </row>
    <row r="32" spans="1:16" x14ac:dyDescent="0.25">
      <c r="A32" s="50"/>
      <c r="B32" s="24" t="s">
        <v>25</v>
      </c>
      <c r="C32" s="84" t="str">
        <f t="array" ref="C32">+INDEX('GL Coding Chart'!A:C,MATCH(Invoice!$C$5&amp;Invoice!B32,'GL Coding Chart'!A:A&amp;'GL Coding Chart'!B:B,0),3)</f>
        <v>534.2100.0000.1014.47408.025.0000.0000.000</v>
      </c>
      <c r="D32" s="85"/>
      <c r="E32" s="85"/>
      <c r="F32" s="86"/>
      <c r="G32" s="15">
        <f>SUM(D15)</f>
        <v>0</v>
      </c>
      <c r="H32" s="60" t="s">
        <v>62</v>
      </c>
      <c r="I32" s="15">
        <f>+G32*0.13</f>
        <v>0</v>
      </c>
      <c r="J32" s="16">
        <f t="shared" si="3"/>
        <v>0</v>
      </c>
      <c r="K32" s="65"/>
      <c r="O32" s="48"/>
    </row>
    <row r="33" spans="1:16" x14ac:dyDescent="0.25">
      <c r="A33" s="50"/>
      <c r="B33" s="24" t="s">
        <v>138</v>
      </c>
      <c r="C33" s="84" t="str">
        <f t="array" ref="C33">+INDEX('GL Coding Chart'!A:C,MATCH(Invoice!$C$5&amp;Invoice!B33,'GL Coding Chart'!A:A&amp;'GL Coding Chart'!B:B,0),3)</f>
        <v>534.1101.0000.0000.17051.000.0000.0000.000</v>
      </c>
      <c r="D33" s="85"/>
      <c r="E33" s="85"/>
      <c r="F33" s="86"/>
      <c r="G33" s="57">
        <f>+SUM(C16:F16)</f>
        <v>0</v>
      </c>
      <c r="H33" s="32" t="s">
        <v>204</v>
      </c>
      <c r="I33" s="15">
        <f>+G33*0</f>
        <v>0</v>
      </c>
      <c r="J33" s="16">
        <f t="shared" si="3"/>
        <v>0</v>
      </c>
      <c r="K33" s="65"/>
      <c r="O33" s="48"/>
      <c r="P33" s="61"/>
    </row>
    <row r="34" spans="1:16" x14ac:dyDescent="0.25">
      <c r="A34" s="50"/>
      <c r="B34" s="23" t="s">
        <v>178</v>
      </c>
      <c r="C34" s="84" t="str">
        <f t="array" ref="C34">+INDEX('GL Coding Chart'!A:C,MATCH(Invoice!$C$5&amp;Invoice!B34,'GL Coding Chart'!A:A&amp;'GL Coding Chart'!B:B,0),3)</f>
        <v>534.2100.0000.1014.47108.025.0000.0000.000</v>
      </c>
      <c r="D34" s="85"/>
      <c r="E34" s="85"/>
      <c r="F34" s="86"/>
      <c r="G34" s="15">
        <f>SUM(C17,E17:F17)</f>
        <v>0</v>
      </c>
      <c r="H34" s="60" t="s">
        <v>62</v>
      </c>
      <c r="I34" s="15">
        <f>+G34*0.13</f>
        <v>0</v>
      </c>
      <c r="J34" s="16">
        <f t="shared" si="3"/>
        <v>0</v>
      </c>
      <c r="K34" s="65"/>
      <c r="O34" s="48"/>
      <c r="P34" s="61"/>
    </row>
    <row r="35" spans="1:16" x14ac:dyDescent="0.25">
      <c r="A35" s="50"/>
      <c r="B35" s="23" t="s">
        <v>179</v>
      </c>
      <c r="C35" s="84" t="str">
        <f t="array" ref="C35">+INDEX('GL Coding Chart'!A:C,MATCH(Invoice!$C$5&amp;Invoice!B35,'GL Coding Chart'!A:A&amp;'GL Coding Chart'!B:B,0),3)</f>
        <v>534.2100.0000.1014.47108.025.0000.0000.000</v>
      </c>
      <c r="D35" s="85"/>
      <c r="E35" s="85"/>
      <c r="F35" s="86"/>
      <c r="G35" s="15">
        <f>SUM(D17)</f>
        <v>0</v>
      </c>
      <c r="H35" s="60" t="s">
        <v>62</v>
      </c>
      <c r="I35" s="15">
        <f>+G35*0.13</f>
        <v>0</v>
      </c>
      <c r="J35" s="16">
        <f t="shared" si="3"/>
        <v>0</v>
      </c>
      <c r="K35" s="65"/>
      <c r="O35" s="48"/>
      <c r="P35" s="61"/>
    </row>
    <row r="36" spans="1:16" x14ac:dyDescent="0.25">
      <c r="A36" s="50"/>
      <c r="B36" s="23" t="s">
        <v>180</v>
      </c>
      <c r="C36" s="84" t="str">
        <f t="array" ref="C36">+INDEX('GL Coding Chart'!A:C,MATCH(Invoice!$C$5&amp;Invoice!B36,'GL Coding Chart'!A:A&amp;'GL Coding Chart'!B:B,0),3)</f>
        <v>534.2100.0000.1014.47108.025.0000.0000.000</v>
      </c>
      <c r="D36" s="85"/>
      <c r="E36" s="85"/>
      <c r="F36" s="86"/>
      <c r="G36" s="15">
        <f>SUM(C18,E18:F18)</f>
        <v>0</v>
      </c>
      <c r="H36" s="60" t="s">
        <v>62</v>
      </c>
      <c r="I36" s="15">
        <f>+G36*0.13</f>
        <v>0</v>
      </c>
      <c r="J36" s="16">
        <f t="shared" si="3"/>
        <v>0</v>
      </c>
      <c r="K36" s="65"/>
      <c r="O36" s="48"/>
      <c r="P36" s="61"/>
    </row>
    <row r="37" spans="1:16" x14ac:dyDescent="0.25">
      <c r="A37" s="50"/>
      <c r="B37" s="23" t="s">
        <v>181</v>
      </c>
      <c r="C37" s="84" t="str">
        <f t="array" ref="C37">+INDEX('GL Coding Chart'!A:C,MATCH(Invoice!$C$5&amp;Invoice!B37,'GL Coding Chart'!A:A&amp;'GL Coding Chart'!B:B,0),3)</f>
        <v>534.2100.0000.1014.47108.025.0000.0000.000</v>
      </c>
      <c r="D37" s="85"/>
      <c r="E37" s="85"/>
      <c r="F37" s="86"/>
      <c r="G37" s="15">
        <f>SUM(D18)</f>
        <v>0</v>
      </c>
      <c r="H37" s="60" t="s">
        <v>62</v>
      </c>
      <c r="I37" s="15">
        <f>+G37*0.13</f>
        <v>0</v>
      </c>
      <c r="J37" s="16">
        <f t="shared" si="3"/>
        <v>0</v>
      </c>
      <c r="K37" s="65"/>
      <c r="O37" s="48"/>
      <c r="P37" s="61"/>
    </row>
    <row r="38" spans="1:16" x14ac:dyDescent="0.25">
      <c r="A38" s="50"/>
      <c r="B38" s="29" t="s">
        <v>39</v>
      </c>
      <c r="C38" s="84" t="str">
        <f t="array" ref="C38">+INDEX('GL Coding Chart'!A:C,MATCH(Invoice!$C$5&amp;Invoice!B38,'GL Coding Chart'!A:A&amp;'GL Coding Chart'!B:B,0),3)</f>
        <v>534.2100.0000.1014.47108.025.0000.0000.000</v>
      </c>
      <c r="D38" s="85"/>
      <c r="E38" s="85"/>
      <c r="F38" s="86"/>
      <c r="G38" s="57">
        <f>SUM(C19,E19:F19)</f>
        <v>0</v>
      </c>
      <c r="H38" s="32" t="s">
        <v>204</v>
      </c>
      <c r="I38" s="15">
        <f>+G38*0</f>
        <v>0</v>
      </c>
      <c r="J38" s="16">
        <f t="shared" si="3"/>
        <v>0</v>
      </c>
      <c r="K38" s="65"/>
      <c r="O38" s="48"/>
    </row>
    <row r="39" spans="1:16" ht="13" thickBot="1" x14ac:dyDescent="0.3">
      <c r="A39" s="50"/>
      <c r="B39" s="25" t="s">
        <v>40</v>
      </c>
      <c r="C39" s="84" t="str">
        <f t="array" ref="C39">+INDEX('GL Coding Chart'!A:C,MATCH(Invoice!$C$5&amp;Invoice!B39,'GL Coding Chart'!A:A&amp;'GL Coding Chart'!B:B,0),3)</f>
        <v>534.2100.0000.1014.47408.025.0000.0000.000</v>
      </c>
      <c r="D39" s="85"/>
      <c r="E39" s="85"/>
      <c r="F39" s="86"/>
      <c r="G39" s="17">
        <f>D19</f>
        <v>0</v>
      </c>
      <c r="H39" s="32" t="s">
        <v>204</v>
      </c>
      <c r="I39" s="15">
        <f>+G39*0</f>
        <v>0</v>
      </c>
      <c r="J39" s="16">
        <f t="shared" si="3"/>
        <v>0</v>
      </c>
      <c r="K39" s="65"/>
      <c r="O39" s="48"/>
    </row>
    <row r="40" spans="1:16" ht="13.5" thickBot="1" x14ac:dyDescent="0.3">
      <c r="A40" s="50"/>
      <c r="B40" s="58" t="s">
        <v>13</v>
      </c>
      <c r="C40" s="26"/>
      <c r="D40" s="26"/>
      <c r="E40" s="26"/>
      <c r="F40" s="26"/>
      <c r="G40" s="18">
        <f>SUM(G26:G39)</f>
        <v>0</v>
      </c>
      <c r="H40" s="19"/>
      <c r="I40" s="18">
        <f>SUM(I26:I39)</f>
        <v>0</v>
      </c>
      <c r="J40" s="20">
        <f>SUM(J26:J39)</f>
        <v>0</v>
      </c>
      <c r="O40" s="48"/>
    </row>
    <row r="41" spans="1:16" s="6" customFormat="1" x14ac:dyDescent="0.25">
      <c r="A41" s="50"/>
      <c r="B41" s="37"/>
      <c r="C41" s="37"/>
      <c r="D41" s="37"/>
      <c r="E41" s="37"/>
      <c r="F41" s="37"/>
      <c r="G41" s="37"/>
      <c r="H41" s="37"/>
      <c r="I41" s="37"/>
      <c r="J41" s="37"/>
      <c r="K41" s="4"/>
      <c r="L41" s="2"/>
      <c r="M41" s="1"/>
      <c r="N41" s="1"/>
      <c r="O41" s="51"/>
    </row>
    <row r="42" spans="1:16" s="6" customFormat="1" ht="13" x14ac:dyDescent="0.25">
      <c r="A42" s="50"/>
      <c r="B42" s="52" t="s">
        <v>35</v>
      </c>
      <c r="C42" s="37"/>
      <c r="D42" s="37"/>
      <c r="E42" s="37"/>
      <c r="F42" s="37"/>
      <c r="G42" s="37"/>
      <c r="H42" s="37"/>
      <c r="I42" s="37"/>
      <c r="J42" s="37"/>
      <c r="K42" s="4"/>
      <c r="L42" s="2"/>
      <c r="M42" s="1"/>
      <c r="N42" s="1"/>
      <c r="O42" s="51"/>
    </row>
    <row r="43" spans="1:16" s="6" customFormat="1" ht="13" x14ac:dyDescent="0.25">
      <c r="A43" s="50"/>
      <c r="B43" s="52"/>
      <c r="C43" s="37"/>
      <c r="D43" s="37"/>
      <c r="E43" s="37"/>
      <c r="F43" s="37"/>
      <c r="G43" s="37"/>
      <c r="H43" s="37"/>
      <c r="I43" s="37"/>
      <c r="J43" s="37"/>
      <c r="K43" s="4"/>
      <c r="L43" s="2"/>
      <c r="M43" s="1"/>
      <c r="N43" s="1"/>
      <c r="O43" s="51"/>
    </row>
    <row r="44" spans="1:16" s="6" customFormat="1" x14ac:dyDescent="0.25">
      <c r="A44" s="50"/>
      <c r="B44" s="37" t="s">
        <v>34</v>
      </c>
      <c r="C44" s="36"/>
      <c r="D44" s="36"/>
      <c r="E44" s="36"/>
      <c r="F44" s="36"/>
      <c r="G44" s="36"/>
      <c r="H44" s="37"/>
      <c r="I44" s="37"/>
      <c r="J44" s="37"/>
      <c r="K44" s="4"/>
      <c r="L44" s="2"/>
      <c r="M44" s="1"/>
      <c r="N44" s="1"/>
      <c r="O44" s="51"/>
    </row>
    <row r="45" spans="1:16" s="6" customFormat="1" x14ac:dyDescent="0.25">
      <c r="A45" s="50"/>
      <c r="B45" s="37"/>
      <c r="C45" s="37"/>
      <c r="D45" s="37"/>
      <c r="E45" s="37"/>
      <c r="F45" s="37"/>
      <c r="G45" s="37"/>
      <c r="H45" s="37"/>
      <c r="I45" s="37"/>
      <c r="J45" s="37"/>
      <c r="K45" s="4"/>
      <c r="L45" s="2"/>
      <c r="M45" s="1"/>
      <c r="N45" s="1"/>
      <c r="O45" s="51"/>
    </row>
    <row r="46" spans="1:16" s="6" customFormat="1" x14ac:dyDescent="0.25">
      <c r="A46" s="50"/>
      <c r="B46" s="37"/>
      <c r="C46" s="37"/>
      <c r="D46" s="37"/>
      <c r="E46" s="37"/>
      <c r="F46" s="37"/>
      <c r="G46" s="37"/>
      <c r="H46" s="37"/>
      <c r="I46" s="37"/>
      <c r="J46" s="37"/>
      <c r="K46" s="4"/>
      <c r="L46" s="2"/>
      <c r="M46" s="1"/>
      <c r="N46" s="1"/>
      <c r="O46" s="51"/>
    </row>
    <row r="47" spans="1:16" s="6" customFormat="1" x14ac:dyDescent="0.25">
      <c r="A47" s="50"/>
      <c r="B47" s="37" t="s">
        <v>34</v>
      </c>
      <c r="C47" s="36"/>
      <c r="D47" s="36"/>
      <c r="E47" s="36"/>
      <c r="F47" s="36"/>
      <c r="G47" s="36"/>
      <c r="H47" s="37"/>
      <c r="I47" s="37"/>
      <c r="J47" s="37"/>
      <c r="K47" s="4"/>
      <c r="L47" s="2"/>
      <c r="M47" s="1"/>
      <c r="N47" s="1"/>
      <c r="O47" s="51"/>
    </row>
    <row r="48" spans="1:16" s="6" customFormat="1" x14ac:dyDescent="0.25">
      <c r="A48" s="50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2"/>
      <c r="M48" s="1"/>
      <c r="N48" s="1"/>
      <c r="O48" s="51"/>
    </row>
    <row r="49" spans="1:15" s="6" customFormat="1" ht="13" thickBot="1" x14ac:dyDescent="0.3">
      <c r="A49" s="53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5"/>
    </row>
    <row r="50" spans="1:15" ht="13" thickTop="1" x14ac:dyDescent="0.25"/>
  </sheetData>
  <mergeCells count="20">
    <mergeCell ref="C31:F31"/>
    <mergeCell ref="B2:L2"/>
    <mergeCell ref="B3:L3"/>
    <mergeCell ref="C5:F5"/>
    <mergeCell ref="C6:F6"/>
    <mergeCell ref="C7:F7"/>
    <mergeCell ref="C25:F25"/>
    <mergeCell ref="C26:F26"/>
    <mergeCell ref="C27:F27"/>
    <mergeCell ref="C28:F28"/>
    <mergeCell ref="C29:F29"/>
    <mergeCell ref="C30:F30"/>
    <mergeCell ref="C38:F38"/>
    <mergeCell ref="C39:F39"/>
    <mergeCell ref="C32:F32"/>
    <mergeCell ref="C33:F33"/>
    <mergeCell ref="C34:F34"/>
    <mergeCell ref="C35:F35"/>
    <mergeCell ref="C36:F36"/>
    <mergeCell ref="C37:F37"/>
  </mergeCells>
  <dataValidations count="2">
    <dataValidation showInputMessage="1" showErrorMessage="1" sqref="C6:D7" xr:uid="{00000000-0002-0000-0000-000000000000}"/>
    <dataValidation type="list" showInputMessage="1" showErrorMessage="1" sqref="C5:F5" xr:uid="{00000000-0002-0000-0000-000001000000}">
      <formula1>$L$4:$L$19</formula1>
    </dataValidation>
  </dataValidations>
  <printOptions horizontalCentered="1"/>
  <pageMargins left="0" right="0" top="1" bottom="1" header="0.5" footer="0.5"/>
  <pageSetup scale="82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T23830"/>
  <sheetViews>
    <sheetView zoomScale="106" zoomScaleNormal="106" workbookViewId="0">
      <pane ySplit="1" topLeftCell="A2" activePane="bottomLeft" state="frozen"/>
      <selection activeCell="C7" sqref="C7:F7"/>
      <selection pane="bottomLeft" sqref="A1:XFD1"/>
    </sheetView>
  </sheetViews>
  <sheetFormatPr defaultColWidth="15.54296875" defaultRowHeight="10" x14ac:dyDescent="0.2"/>
  <cols>
    <col min="1" max="1" width="11.81640625" style="66" customWidth="1"/>
    <col min="2" max="2" width="14" style="66" bestFit="1" customWidth="1"/>
    <col min="3" max="3" width="4.81640625" style="66" customWidth="1"/>
    <col min="4" max="4" width="6.54296875" style="66" customWidth="1"/>
    <col min="5" max="5" width="10" style="71" bestFit="1" customWidth="1"/>
    <col min="6" max="6" width="9" style="71" bestFit="1" customWidth="1"/>
    <col min="7" max="7" width="9.1796875" style="66" customWidth="1"/>
    <col min="8" max="8" width="11.7265625" style="66" bestFit="1" customWidth="1"/>
    <col min="9" max="9" width="10.1796875" style="66" bestFit="1" customWidth="1"/>
    <col min="10" max="10" width="4.453125" style="66" customWidth="1"/>
    <col min="11" max="11" width="9.1796875" style="66" customWidth="1"/>
    <col min="12" max="12" width="11" style="66" customWidth="1"/>
    <col min="13" max="13" width="9.453125" style="66" customWidth="1"/>
    <col min="14" max="14" width="8.7265625" style="66" customWidth="1"/>
    <col min="15" max="15" width="7.54296875" style="66" customWidth="1"/>
    <col min="16" max="16" width="10.453125" style="66" customWidth="1"/>
    <col min="17" max="17" width="5.7265625" style="66" customWidth="1"/>
    <col min="18" max="18" width="3.54296875" style="66" bestFit="1" customWidth="1"/>
    <col min="19" max="19" width="10.453125" style="66" customWidth="1"/>
    <col min="20" max="20" width="19.7265625" style="66" customWidth="1"/>
    <col min="21" max="21" width="7" style="66" customWidth="1"/>
    <col min="22" max="22" width="8.1796875" style="66" bestFit="1" customWidth="1"/>
    <col min="23" max="23" width="11.26953125" style="66" bestFit="1" customWidth="1"/>
    <col min="24" max="24" width="9.453125" style="66" bestFit="1" customWidth="1"/>
    <col min="25" max="25" width="13.26953125" style="66" bestFit="1" customWidth="1"/>
    <col min="26" max="26" width="13.54296875" style="66" bestFit="1" customWidth="1"/>
    <col min="27" max="27" width="9.26953125" style="66" bestFit="1" customWidth="1"/>
    <col min="28" max="28" width="9.81640625" style="66" bestFit="1" customWidth="1"/>
    <col min="29" max="29" width="3.81640625" style="66" customWidth="1"/>
    <col min="30" max="30" width="8.54296875" style="66" bestFit="1" customWidth="1"/>
    <col min="31" max="31" width="28.453125" style="66" bestFit="1" customWidth="1"/>
    <col min="32" max="32" width="10" style="66" bestFit="1" customWidth="1"/>
    <col min="33" max="33" width="20.453125" style="66" bestFit="1" customWidth="1"/>
    <col min="34" max="34" width="13.54296875" style="66" bestFit="1" customWidth="1"/>
    <col min="35" max="35" width="14.1796875" style="66" bestFit="1" customWidth="1"/>
    <col min="36" max="36" width="9.81640625" style="66" bestFit="1" customWidth="1"/>
    <col min="37" max="37" width="14.26953125" style="66" bestFit="1" customWidth="1"/>
    <col min="38" max="38" width="9.26953125" style="66" bestFit="1" customWidth="1"/>
    <col min="39" max="39" width="10.26953125" style="66" bestFit="1" customWidth="1"/>
    <col min="40" max="41" width="15" style="66" bestFit="1" customWidth="1"/>
    <col min="42" max="42" width="5.81640625" style="66" customWidth="1"/>
    <col min="43" max="44" width="13.453125" style="66" bestFit="1" customWidth="1"/>
    <col min="45" max="46" width="7.7265625" style="66" bestFit="1" customWidth="1"/>
    <col min="47" max="47" width="4.81640625" style="66" customWidth="1"/>
    <col min="48" max="48" width="9.81640625" style="66" bestFit="1" customWidth="1"/>
    <col min="49" max="49" width="17" style="66" customWidth="1"/>
    <col min="50" max="50" width="9.81640625" style="66" customWidth="1"/>
    <col min="51" max="51" width="19.453125" style="66" bestFit="1" customWidth="1"/>
    <col min="52" max="52" width="20.453125" style="66" bestFit="1" customWidth="1"/>
    <col min="53" max="53" width="22" style="66" bestFit="1" customWidth="1"/>
    <col min="54" max="54" width="6.81640625" style="66" bestFit="1" customWidth="1"/>
    <col min="55" max="55" width="12.54296875" style="66" bestFit="1" customWidth="1"/>
    <col min="56" max="56" width="17" style="66" bestFit="1" customWidth="1"/>
    <col min="57" max="57" width="5.26953125" style="66" customWidth="1"/>
    <col min="58" max="58" width="13.453125" style="66" customWidth="1"/>
    <col min="59" max="59" width="4.1796875" style="66" customWidth="1"/>
    <col min="60" max="60" width="10.1796875" style="66" customWidth="1"/>
    <col min="61" max="61" width="9.81640625" style="66" customWidth="1"/>
    <col min="62" max="62" width="18.26953125" style="66" bestFit="1" customWidth="1"/>
    <col min="63" max="63" width="12.7265625" style="66" bestFit="1" customWidth="1"/>
    <col min="64" max="64" width="17.453125" style="66" bestFit="1" customWidth="1"/>
    <col min="65" max="65" width="15.81640625" style="66" bestFit="1" customWidth="1"/>
    <col min="66" max="66" width="20" style="66" bestFit="1" customWidth="1"/>
    <col min="67" max="67" width="13.7265625" style="83" bestFit="1" customWidth="1"/>
    <col min="68" max="68" width="11.1796875" style="71" bestFit="1" customWidth="1"/>
    <col min="69" max="69" width="7.453125" style="66" customWidth="1"/>
    <col min="70" max="70" width="4.453125" style="66" customWidth="1"/>
    <col min="71" max="71" width="5.54296875" style="66" customWidth="1"/>
    <col min="72" max="72" width="11.1796875" style="71" bestFit="1" customWidth="1"/>
    <col min="73" max="73" width="7.453125" style="66" customWidth="1"/>
    <col min="74" max="74" width="4.453125" style="66" bestFit="1" customWidth="1"/>
    <col min="75" max="75" width="5.54296875" style="66" customWidth="1"/>
    <col min="76" max="76" width="11.1796875" style="71" bestFit="1" customWidth="1"/>
    <col min="77" max="77" width="7.453125" style="66" customWidth="1"/>
    <col min="78" max="78" width="4.453125" style="66" bestFit="1" customWidth="1"/>
    <col min="79" max="79" width="5.54296875" style="66" customWidth="1"/>
    <col min="80" max="80" width="11" style="66" bestFit="1" customWidth="1"/>
    <col min="81" max="81" width="13.1796875" style="66" bestFit="1" customWidth="1"/>
    <col min="82" max="82" width="11.54296875" style="66" bestFit="1" customWidth="1"/>
    <col min="83" max="83" width="15.7265625" style="66" bestFit="1" customWidth="1"/>
    <col min="84" max="84" width="12.453125" style="71" bestFit="1" customWidth="1"/>
    <col min="85" max="85" width="16.1796875" style="66" bestFit="1" customWidth="1"/>
    <col min="86" max="86" width="15.54296875" style="66" bestFit="1" customWidth="1"/>
    <col min="87" max="87" width="6.81640625" style="71" customWidth="1"/>
    <col min="88" max="88" width="9.54296875" style="66" customWidth="1"/>
    <col min="89" max="89" width="5.26953125" style="66" bestFit="1" customWidth="1"/>
    <col min="90" max="90" width="5.54296875" style="66" customWidth="1"/>
    <col min="91" max="91" width="11.1796875" style="71" bestFit="1" customWidth="1"/>
    <col min="92" max="92" width="18.453125" style="66" customWidth="1"/>
    <col min="93" max="93" width="5.26953125" style="66" bestFit="1" customWidth="1"/>
    <col min="94" max="94" width="5.54296875" style="66" customWidth="1"/>
    <col min="95" max="95" width="11" style="66" bestFit="1" customWidth="1"/>
    <col min="96" max="96" width="13.1796875" style="66" bestFit="1" customWidth="1"/>
    <col min="97" max="97" width="11.54296875" style="66" bestFit="1" customWidth="1"/>
    <col min="98" max="98" width="15.7265625" style="66" bestFit="1" customWidth="1"/>
    <col min="99" max="99" width="12.453125" style="71" bestFit="1" customWidth="1"/>
    <col min="100" max="100" width="16.1796875" style="66" bestFit="1" customWidth="1"/>
    <col min="101" max="101" width="15.54296875" style="66"/>
    <col min="102" max="102" width="14.26953125" style="66" customWidth="1"/>
    <col min="103" max="103" width="14" style="66" bestFit="1" customWidth="1"/>
    <col min="104" max="104" width="8.54296875" style="66" bestFit="1" customWidth="1"/>
    <col min="105" max="105" width="9.54296875" style="66" bestFit="1" customWidth="1"/>
    <col min="106" max="106" width="10" style="71" bestFit="1" customWidth="1"/>
    <col min="107" max="107" width="9" style="71" customWidth="1"/>
    <col min="108" max="108" width="56.1796875" style="66" bestFit="1" customWidth="1"/>
    <col min="109" max="109" width="11.7265625" style="66" bestFit="1" customWidth="1"/>
    <col min="110" max="110" width="10.1796875" style="66" customWidth="1"/>
    <col min="111" max="111" width="13.81640625" style="66" bestFit="1" customWidth="1"/>
    <col min="112" max="112" width="49.453125" style="66" bestFit="1" customWidth="1"/>
    <col min="113" max="113" width="11" style="66" customWidth="1"/>
    <col min="114" max="114" width="10.453125" style="66" bestFit="1" customWidth="1"/>
    <col min="115" max="115" width="17.81640625" style="66" bestFit="1" customWidth="1"/>
    <col min="116" max="116" width="10.26953125" style="66" bestFit="1" customWidth="1"/>
    <col min="117" max="118" width="11.54296875" style="66" bestFit="1" customWidth="1"/>
    <col min="119" max="119" width="3.54296875" style="66" customWidth="1"/>
    <col min="120" max="120" width="18.81640625" style="66" bestFit="1" customWidth="1"/>
    <col min="121" max="121" width="70.1796875" style="66" bestFit="1" customWidth="1"/>
    <col min="122" max="122" width="14" style="66" bestFit="1" customWidth="1"/>
    <col min="123" max="123" width="8.1796875" style="66" customWidth="1"/>
    <col min="124" max="124" width="11.26953125" style="66" customWidth="1"/>
    <col min="125" max="125" width="9.453125" style="66" customWidth="1"/>
    <col min="126" max="126" width="13.26953125" style="66" customWidth="1"/>
    <col min="127" max="127" width="13.54296875" style="66" customWidth="1"/>
    <col min="128" max="128" width="9.26953125" style="66" customWidth="1"/>
    <col min="129" max="129" width="9.81640625" style="66" customWidth="1"/>
    <col min="130" max="130" width="5.81640625" style="66" bestFit="1" customWidth="1"/>
    <col min="131" max="131" width="8.54296875" style="66" customWidth="1"/>
    <col min="132" max="132" width="28.453125" style="66" customWidth="1"/>
    <col min="133" max="133" width="10" style="66" customWidth="1"/>
    <col min="134" max="134" width="20.453125" style="66" customWidth="1"/>
    <col min="135" max="135" width="13.54296875" style="66" customWidth="1"/>
    <col min="136" max="136" width="14.1796875" style="66" customWidth="1"/>
    <col min="137" max="137" width="9.81640625" style="66" customWidth="1"/>
    <col min="138" max="138" width="14.26953125" style="66" customWidth="1"/>
    <col min="139" max="139" width="9.26953125" style="66" customWidth="1"/>
    <col min="140" max="140" width="10.26953125" style="66" customWidth="1"/>
    <col min="141" max="142" width="15" style="66" customWidth="1"/>
    <col min="143" max="143" width="17.7265625" style="66" bestFit="1" customWidth="1"/>
    <col min="144" max="145" width="13.453125" style="66" customWidth="1"/>
    <col min="146" max="147" width="7.7265625" style="66" customWidth="1"/>
    <col min="148" max="148" width="4.81640625" style="66" customWidth="1"/>
    <col min="149" max="149" width="9.81640625" style="66" customWidth="1"/>
    <col min="150" max="150" width="17" style="66" customWidth="1"/>
    <col min="151" max="151" width="29.26953125" style="66" bestFit="1" customWidth="1"/>
    <col min="152" max="152" width="22" style="66" customWidth="1"/>
    <col min="153" max="153" width="6.81640625" style="66" customWidth="1"/>
    <col min="154" max="154" width="12.54296875" style="66" customWidth="1"/>
    <col min="155" max="155" width="17" style="66" customWidth="1"/>
    <col min="156" max="156" width="18.1796875" style="66" bestFit="1" customWidth="1"/>
    <col min="157" max="157" width="8.7265625" style="66" bestFit="1" customWidth="1"/>
    <col min="158" max="158" width="29.7265625" style="66" bestFit="1" customWidth="1"/>
    <col min="159" max="159" width="32.26953125" style="66" bestFit="1" customWidth="1"/>
    <col min="160" max="160" width="18.26953125" style="66" customWidth="1"/>
    <col min="161" max="161" width="19.453125" style="66" customWidth="1"/>
    <col min="162" max="162" width="20.453125" style="66" customWidth="1"/>
    <col min="163" max="163" width="5.26953125" style="66" bestFit="1" customWidth="1"/>
    <col min="164" max="164" width="12.7265625" style="66" customWidth="1"/>
    <col min="165" max="165" width="17.453125" style="66" customWidth="1"/>
    <col min="166" max="166" width="15.81640625" style="66" customWidth="1"/>
    <col min="167" max="167" width="20" style="71" customWidth="1"/>
    <col min="168" max="168" width="11.1796875" style="71" customWidth="1"/>
    <col min="169" max="169" width="17.7265625" style="71" bestFit="1" customWidth="1"/>
    <col min="170" max="170" width="7" style="66" bestFit="1" customWidth="1"/>
    <col min="171" max="171" width="7.81640625" style="66" bestFit="1" customWidth="1"/>
    <col min="172" max="172" width="11.1796875" style="71" bestFit="1" customWidth="1"/>
    <col min="173" max="173" width="9.54296875" style="71" bestFit="1" customWidth="1"/>
    <col min="174" max="174" width="4.453125" style="66" customWidth="1"/>
    <col min="175" max="175" width="7.81640625" style="66" bestFit="1" customWidth="1"/>
    <col min="176" max="176" width="11.1796875" style="71" bestFit="1" customWidth="1"/>
    <col min="177" max="177" width="9.54296875" style="71" bestFit="1" customWidth="1"/>
    <col min="178" max="178" width="4.453125" style="66" customWidth="1"/>
    <col min="179" max="179" width="6.1796875" style="66" bestFit="1" customWidth="1"/>
    <col min="180" max="180" width="11.1796875" style="71" bestFit="1" customWidth="1"/>
    <col min="181" max="181" width="9.54296875" style="71" bestFit="1" customWidth="1"/>
    <col min="182" max="182" width="4.453125" style="66" customWidth="1"/>
    <col min="183" max="183" width="7.81640625" style="66" bestFit="1" customWidth="1"/>
    <col min="184" max="184" width="11.1796875" style="71" customWidth="1"/>
    <col min="185" max="185" width="10" style="71" bestFit="1" customWidth="1"/>
    <col min="186" max="186" width="4.453125" style="66" customWidth="1"/>
    <col min="187" max="187" width="7.81640625" style="66" bestFit="1" customWidth="1"/>
    <col min="188" max="188" width="11.1796875" style="71" bestFit="1" customWidth="1"/>
    <col min="189" max="189" width="10" style="66" bestFit="1" customWidth="1"/>
    <col min="190" max="190" width="4.453125" style="66" customWidth="1"/>
    <col min="191" max="191" width="7.81640625" style="66" bestFit="1" customWidth="1"/>
    <col min="192" max="192" width="11.1796875" style="71" bestFit="1" customWidth="1"/>
    <col min="193" max="193" width="9.54296875" style="71" bestFit="1" customWidth="1"/>
    <col min="194" max="194" width="4.453125" style="66" customWidth="1"/>
    <col min="195" max="195" width="7.81640625" style="66" bestFit="1" customWidth="1"/>
    <col min="196" max="196" width="11" style="66" customWidth="1"/>
    <col min="197" max="197" width="13.1796875" style="66" customWidth="1"/>
    <col min="198" max="198" width="11.54296875" style="66" customWidth="1"/>
    <col min="199" max="199" width="15.7265625" style="66" customWidth="1"/>
    <col min="200" max="200" width="12.453125" style="71" customWidth="1"/>
    <col min="201" max="201" width="16.1796875" style="66" bestFit="1" customWidth="1"/>
    <col min="202" max="202" width="15.54296875" style="66" bestFit="1" customWidth="1"/>
    <col min="203" max="203" width="3.54296875" style="66" customWidth="1"/>
    <col min="204" max="204" width="18.81640625" style="66" bestFit="1" customWidth="1"/>
    <col min="205" max="205" width="64.1796875" style="66" bestFit="1" customWidth="1"/>
    <col min="206" max="206" width="14" style="66" bestFit="1" customWidth="1"/>
    <col min="207" max="207" width="8.1796875" style="66" customWidth="1"/>
    <col min="208" max="208" width="11.26953125" style="66" bestFit="1" customWidth="1"/>
    <col min="209" max="209" width="9.453125" style="66" bestFit="1" customWidth="1"/>
    <col min="210" max="210" width="13.26953125" style="66" bestFit="1" customWidth="1"/>
    <col min="211" max="211" width="13.54296875" style="66" bestFit="1" customWidth="1"/>
    <col min="212" max="212" width="9.26953125" style="66" bestFit="1" customWidth="1"/>
    <col min="213" max="213" width="9.81640625" style="66" bestFit="1" customWidth="1"/>
    <col min="214" max="214" width="5.26953125" style="66" customWidth="1"/>
    <col min="215" max="215" width="8.54296875" style="66" customWidth="1"/>
    <col min="216" max="216" width="28.453125" style="66" bestFit="1" customWidth="1"/>
    <col min="217" max="217" width="10" style="66" bestFit="1" customWidth="1"/>
    <col min="218" max="218" width="20.453125" style="66" bestFit="1" customWidth="1"/>
    <col min="219" max="219" width="13.54296875" style="66" bestFit="1" customWidth="1"/>
    <col min="220" max="220" width="14.1796875" style="66" bestFit="1" customWidth="1"/>
    <col min="221" max="221" width="14.26953125" style="66" bestFit="1" customWidth="1"/>
    <col min="222" max="222" width="9.26953125" style="66" bestFit="1" customWidth="1"/>
    <col min="223" max="223" width="17.7265625" style="66" bestFit="1" customWidth="1"/>
    <col min="224" max="224" width="13.453125" style="66" bestFit="1" customWidth="1"/>
    <col min="225" max="225" width="12.7265625" style="66" bestFit="1" customWidth="1"/>
    <col min="226" max="227" width="7.7265625" style="66" customWidth="1"/>
    <col min="228" max="228" width="7" style="66" customWidth="1"/>
    <col min="229" max="229" width="10.7265625" style="66" bestFit="1" customWidth="1"/>
    <col min="230" max="230" width="17" style="66" bestFit="1" customWidth="1"/>
    <col min="231" max="231" width="22" style="66" bestFit="1" customWidth="1"/>
    <col min="232" max="232" width="14.26953125" style="66" bestFit="1" customWidth="1"/>
    <col min="233" max="233" width="6.81640625" style="66" customWidth="1"/>
    <col min="234" max="234" width="12.7265625" style="66" bestFit="1" customWidth="1"/>
    <col min="235" max="235" width="17.453125" style="66" bestFit="1" customWidth="1"/>
    <col min="236" max="236" width="15.81640625" style="66" bestFit="1" customWidth="1"/>
    <col min="237" max="237" width="20" style="66" bestFit="1" customWidth="1"/>
    <col min="238" max="238" width="11.1796875" style="66" bestFit="1" customWidth="1"/>
    <col min="239" max="239" width="7.81640625" style="66" customWidth="1"/>
    <col min="240" max="240" width="7" style="66" customWidth="1"/>
    <col min="241" max="241" width="5.54296875" style="66" customWidth="1"/>
    <col min="242" max="242" width="11.1796875" style="66" bestFit="1" customWidth="1"/>
    <col min="243" max="243" width="7.81640625" style="66" customWidth="1"/>
    <col min="244" max="244" width="4.453125" style="66" customWidth="1"/>
    <col min="245" max="245" width="5.54296875" style="66" customWidth="1"/>
    <col min="246" max="246" width="11.1796875" style="66" bestFit="1" customWidth="1"/>
    <col min="247" max="247" width="7.81640625" style="66" customWidth="1"/>
    <col min="248" max="248" width="4.453125" style="66" customWidth="1"/>
    <col min="249" max="249" width="5.54296875" style="66" customWidth="1"/>
    <col min="250" max="250" width="11.1796875" style="66" bestFit="1" customWidth="1"/>
    <col min="251" max="251" width="7.81640625" style="66" customWidth="1"/>
    <col min="252" max="252" width="4.453125" style="66" customWidth="1"/>
    <col min="253" max="253" width="5.54296875" style="66" customWidth="1"/>
    <col min="254" max="254" width="11.1796875" style="66" bestFit="1" customWidth="1"/>
    <col min="255" max="255" width="7.81640625" style="66" customWidth="1"/>
    <col min="256" max="256" width="4.453125" style="66" customWidth="1"/>
    <col min="257" max="257" width="5.54296875" style="66" customWidth="1"/>
    <col min="258" max="258" width="11.1796875" style="66" bestFit="1" customWidth="1"/>
    <col min="259" max="259" width="7.81640625" style="66" customWidth="1"/>
    <col min="260" max="260" width="4.453125" style="66" customWidth="1"/>
    <col min="261" max="261" width="5.54296875" style="66" customWidth="1"/>
    <col min="262" max="262" width="11.1796875" style="66" bestFit="1" customWidth="1"/>
    <col min="263" max="263" width="7.81640625" style="66" customWidth="1"/>
    <col min="264" max="264" width="4.453125" style="66" customWidth="1"/>
    <col min="265" max="265" width="5.54296875" style="66" customWidth="1"/>
    <col min="266" max="266" width="11" style="66" bestFit="1" customWidth="1"/>
    <col min="267" max="267" width="13.1796875" style="66" bestFit="1" customWidth="1"/>
    <col min="268" max="268" width="11.54296875" style="66" bestFit="1" customWidth="1"/>
    <col min="269" max="269" width="15.7265625" style="66" bestFit="1" customWidth="1"/>
    <col min="270" max="270" width="12.453125" style="66" bestFit="1" customWidth="1"/>
    <col min="271" max="271" width="16.1796875" style="66" bestFit="1" customWidth="1"/>
    <col min="272" max="272" width="15.54296875" style="66" bestFit="1" customWidth="1"/>
    <col min="273" max="273" width="20" style="66" customWidth="1"/>
    <col min="274" max="274" width="14" style="66" bestFit="1" customWidth="1"/>
    <col min="275" max="275" width="8.54296875" style="66" customWidth="1"/>
    <col min="276" max="276" width="9.54296875" style="66" customWidth="1"/>
    <col min="277" max="277" width="10" style="66" bestFit="1" customWidth="1"/>
    <col min="278" max="278" width="9" style="66" bestFit="1" customWidth="1"/>
    <col min="279" max="279" width="53" style="66" customWidth="1"/>
    <col min="280" max="280" width="11.7265625" style="66" bestFit="1" customWidth="1"/>
    <col min="281" max="281" width="10.1796875" style="66" customWidth="1"/>
    <col min="282" max="282" width="10.54296875" style="66" customWidth="1"/>
    <col min="283" max="283" width="44.1796875" style="66" customWidth="1"/>
    <col min="284" max="284" width="11" style="66" customWidth="1"/>
    <col min="285" max="285" width="17.81640625" style="66" customWidth="1"/>
    <col min="286" max="286" width="10.26953125" style="66" customWidth="1"/>
    <col min="287" max="287" width="10.453125" style="66" customWidth="1"/>
    <col min="288" max="288" width="11.54296875" style="66" bestFit="1" customWidth="1"/>
    <col min="289" max="289" width="3.54296875" style="66" customWidth="1"/>
    <col min="290" max="290" width="18.81640625" style="66" customWidth="1"/>
    <col min="291" max="291" width="64.1796875" style="66" customWidth="1"/>
    <col min="292" max="292" width="14" style="66" bestFit="1" customWidth="1"/>
    <col min="293" max="293" width="8.1796875" style="66" bestFit="1" customWidth="1"/>
    <col min="294" max="294" width="11.26953125" style="66" bestFit="1" customWidth="1"/>
    <col min="295" max="295" width="9.453125" style="66" customWidth="1"/>
    <col min="296" max="296" width="13.26953125" style="66" customWidth="1"/>
    <col min="297" max="297" width="13.54296875" style="66" bestFit="1" customWidth="1"/>
    <col min="298" max="298" width="9.26953125" style="66" customWidth="1"/>
    <col min="299" max="299" width="9.81640625" style="66" customWidth="1"/>
    <col min="300" max="300" width="5.26953125" style="66" customWidth="1"/>
    <col min="301" max="301" width="8.54296875" style="66" customWidth="1"/>
    <col min="302" max="302" width="28.453125" style="66" customWidth="1"/>
    <col min="303" max="303" width="10" style="66" customWidth="1"/>
    <col min="304" max="304" width="20.453125" style="66" customWidth="1"/>
    <col min="305" max="305" width="13.54296875" style="66" customWidth="1"/>
    <col min="306" max="306" width="14.1796875" style="66" customWidth="1"/>
    <col min="307" max="307" width="14.26953125" style="66" customWidth="1"/>
    <col min="308" max="308" width="9.26953125" style="66" customWidth="1"/>
    <col min="309" max="309" width="17.7265625" style="66" bestFit="1" customWidth="1"/>
    <col min="310" max="310" width="13.453125" style="66" customWidth="1"/>
    <col min="311" max="311" width="12.7265625" style="66" customWidth="1"/>
    <col min="312" max="313" width="7.7265625" style="66" customWidth="1"/>
    <col min="314" max="314" width="6.54296875" style="66" customWidth="1"/>
    <col min="315" max="315" width="10.7265625" style="66" customWidth="1"/>
    <col min="316" max="316" width="17" style="66" customWidth="1"/>
    <col min="317" max="317" width="22" style="66" bestFit="1" customWidth="1"/>
    <col min="318" max="318" width="14.26953125" style="66" customWidth="1"/>
    <col min="319" max="319" width="7.81640625" style="66" customWidth="1"/>
    <col min="320" max="320" width="12.7265625" style="66" customWidth="1"/>
    <col min="321" max="321" width="17.453125" style="66" customWidth="1"/>
    <col min="322" max="322" width="15.81640625" style="66" customWidth="1"/>
    <col min="323" max="323" width="20" style="66" customWidth="1"/>
    <col min="324" max="324" width="11.1796875" style="66" customWidth="1"/>
    <col min="325" max="325" width="7.81640625" style="66" customWidth="1"/>
    <col min="326" max="326" width="7" style="66" customWidth="1"/>
    <col min="327" max="327" width="5.54296875" style="66" customWidth="1"/>
    <col min="328" max="328" width="11.1796875" style="66" customWidth="1"/>
    <col min="329" max="329" width="7.81640625" style="66" customWidth="1"/>
    <col min="330" max="330" width="4.453125" style="66" customWidth="1"/>
    <col min="331" max="331" width="5.7265625" style="66" customWidth="1"/>
    <col min="332" max="332" width="11.1796875" style="66" customWidth="1"/>
    <col min="333" max="333" width="7.81640625" style="66" customWidth="1"/>
    <col min="334" max="334" width="4.453125" style="66" customWidth="1"/>
    <col min="335" max="335" width="5.7265625" style="66" customWidth="1"/>
    <col min="336" max="336" width="11.1796875" style="66" customWidth="1"/>
    <col min="337" max="337" width="7.81640625" style="66" customWidth="1"/>
    <col min="338" max="338" width="4.453125" style="66" customWidth="1"/>
    <col min="339" max="339" width="5.7265625" style="66" customWidth="1"/>
    <col min="340" max="340" width="11.1796875" style="66" customWidth="1"/>
    <col min="341" max="341" width="7.81640625" style="66" customWidth="1"/>
    <col min="342" max="342" width="4.453125" style="66" customWidth="1"/>
    <col min="343" max="343" width="5.7265625" style="66" customWidth="1"/>
    <col min="344" max="344" width="11.1796875" style="66" customWidth="1"/>
    <col min="345" max="345" width="7.81640625" style="66" customWidth="1"/>
    <col min="346" max="346" width="4.453125" style="66" customWidth="1"/>
    <col min="347" max="347" width="5.54296875" style="66" customWidth="1"/>
    <col min="348" max="348" width="11.1796875" style="66" customWidth="1"/>
    <col min="349" max="349" width="7.81640625" style="66" customWidth="1"/>
    <col min="350" max="350" width="4.453125" style="66" customWidth="1"/>
    <col min="351" max="351" width="5.7265625" style="66" customWidth="1"/>
    <col min="352" max="352" width="11" style="66" customWidth="1"/>
    <col min="353" max="353" width="13.1796875" style="66" customWidth="1"/>
    <col min="354" max="354" width="11.54296875" style="66" customWidth="1"/>
    <col min="355" max="355" width="15.7265625" style="66" bestFit="1" customWidth="1"/>
    <col min="356" max="356" width="12.453125" style="66" bestFit="1" customWidth="1"/>
    <col min="357" max="357" width="16.1796875" style="66" bestFit="1" customWidth="1"/>
    <col min="358" max="358" width="15.54296875" style="66" bestFit="1"/>
    <col min="359" max="16384" width="15.54296875" style="66"/>
  </cols>
  <sheetData>
    <row r="1" spans="1:358" s="68" customFormat="1" ht="10.5" x14ac:dyDescent="0.25">
      <c r="A1" s="67" t="s">
        <v>41</v>
      </c>
      <c r="B1" s="67" t="s">
        <v>42</v>
      </c>
      <c r="C1" s="67" t="s">
        <v>43</v>
      </c>
      <c r="D1" s="67" t="s">
        <v>38</v>
      </c>
      <c r="E1" s="79" t="s">
        <v>45</v>
      </c>
      <c r="F1" s="79" t="s">
        <v>46</v>
      </c>
      <c r="G1" s="67" t="s">
        <v>1</v>
      </c>
      <c r="H1" s="67" t="s">
        <v>47</v>
      </c>
      <c r="I1" s="67" t="s">
        <v>143</v>
      </c>
      <c r="J1" s="67" t="s">
        <v>48</v>
      </c>
      <c r="K1" s="67" t="s">
        <v>49</v>
      </c>
      <c r="L1" s="67" t="s">
        <v>50</v>
      </c>
      <c r="M1" s="67" t="s">
        <v>160</v>
      </c>
      <c r="N1" s="67" t="s">
        <v>51</v>
      </c>
      <c r="O1" s="67" t="s">
        <v>52</v>
      </c>
      <c r="P1" s="67" t="s">
        <v>53</v>
      </c>
      <c r="Q1" s="67" t="s">
        <v>44</v>
      </c>
      <c r="R1" s="67" t="s">
        <v>54</v>
      </c>
      <c r="S1" s="67" t="s">
        <v>55</v>
      </c>
      <c r="T1" s="67" t="s">
        <v>154</v>
      </c>
      <c r="U1" s="67" t="s">
        <v>56</v>
      </c>
      <c r="V1" s="67" t="s">
        <v>144</v>
      </c>
      <c r="W1" s="67" t="s">
        <v>145</v>
      </c>
      <c r="X1" s="67" t="s">
        <v>146</v>
      </c>
      <c r="Y1" s="67" t="s">
        <v>57</v>
      </c>
      <c r="Z1" s="67" t="s">
        <v>58</v>
      </c>
      <c r="AA1" s="67" t="s">
        <v>71</v>
      </c>
      <c r="AB1" s="67" t="s">
        <v>3</v>
      </c>
      <c r="AC1" s="67" t="s">
        <v>59</v>
      </c>
      <c r="AD1" s="67" t="s">
        <v>60</v>
      </c>
      <c r="AE1" s="67" t="s">
        <v>155</v>
      </c>
      <c r="AF1" s="67" t="s">
        <v>136</v>
      </c>
      <c r="AG1" s="67" t="s">
        <v>64</v>
      </c>
      <c r="AH1" s="67" t="s">
        <v>137</v>
      </c>
      <c r="AI1" s="67" t="s">
        <v>65</v>
      </c>
      <c r="AJ1" s="67" t="s">
        <v>161</v>
      </c>
      <c r="AK1" s="67" t="s">
        <v>72</v>
      </c>
      <c r="AL1" s="67" t="s">
        <v>73</v>
      </c>
      <c r="AM1" s="67" t="s">
        <v>162</v>
      </c>
      <c r="AN1" s="67" t="s">
        <v>173</v>
      </c>
      <c r="AO1" s="67" t="s">
        <v>174</v>
      </c>
      <c r="AP1" s="67" t="s">
        <v>74</v>
      </c>
      <c r="AQ1" s="67" t="s">
        <v>94</v>
      </c>
      <c r="AR1" s="67" t="s">
        <v>156</v>
      </c>
      <c r="AS1" s="67" t="s">
        <v>157</v>
      </c>
      <c r="AT1" s="67" t="s">
        <v>158</v>
      </c>
      <c r="AU1" s="67" t="s">
        <v>12</v>
      </c>
      <c r="AV1" s="67" t="s">
        <v>159</v>
      </c>
      <c r="AW1" s="67" t="s">
        <v>70</v>
      </c>
      <c r="AX1" s="67" t="s">
        <v>175</v>
      </c>
      <c r="AY1" s="67" t="s">
        <v>209</v>
      </c>
      <c r="AZ1" s="67" t="s">
        <v>210</v>
      </c>
      <c r="BA1" s="67" t="s">
        <v>141</v>
      </c>
      <c r="BB1" s="67" t="s">
        <v>87</v>
      </c>
      <c r="BC1" s="67" t="s">
        <v>176</v>
      </c>
      <c r="BD1" s="67" t="s">
        <v>177</v>
      </c>
      <c r="BE1" s="67" t="s">
        <v>212</v>
      </c>
      <c r="BF1" s="67" t="s">
        <v>205</v>
      </c>
      <c r="BG1" s="67" t="s">
        <v>211</v>
      </c>
      <c r="BH1" s="67" t="s">
        <v>206</v>
      </c>
      <c r="BI1" s="67" t="s">
        <v>207</v>
      </c>
      <c r="BJ1" s="67" t="s">
        <v>208</v>
      </c>
      <c r="BK1" s="67" t="s">
        <v>66</v>
      </c>
      <c r="BL1" s="67" t="s">
        <v>67</v>
      </c>
      <c r="BM1" s="67" t="s">
        <v>68</v>
      </c>
      <c r="BN1" s="67" t="s">
        <v>69</v>
      </c>
      <c r="BO1" s="82" t="s">
        <v>230</v>
      </c>
      <c r="BP1" s="79" t="s">
        <v>75</v>
      </c>
      <c r="BQ1" s="67" t="s">
        <v>76</v>
      </c>
      <c r="BR1" s="67" t="s">
        <v>77</v>
      </c>
      <c r="BS1" s="67" t="s">
        <v>78</v>
      </c>
      <c r="BT1" s="79" t="s">
        <v>79</v>
      </c>
      <c r="BU1" s="67" t="s">
        <v>80</v>
      </c>
      <c r="BV1" s="67" t="s">
        <v>81</v>
      </c>
      <c r="BW1" s="67" t="s">
        <v>82</v>
      </c>
      <c r="BX1" s="79" t="s">
        <v>83</v>
      </c>
      <c r="BY1" s="67" t="s">
        <v>84</v>
      </c>
      <c r="BZ1" s="67" t="s">
        <v>85</v>
      </c>
      <c r="CA1" s="67" t="s">
        <v>86</v>
      </c>
      <c r="CB1" s="67" t="s">
        <v>130</v>
      </c>
      <c r="CC1" s="67" t="s">
        <v>131</v>
      </c>
      <c r="CD1" s="67" t="s">
        <v>132</v>
      </c>
      <c r="CE1" s="67" t="s">
        <v>133</v>
      </c>
      <c r="CF1" s="79" t="s">
        <v>134</v>
      </c>
      <c r="CG1" s="67" t="s">
        <v>135</v>
      </c>
      <c r="CH1" s="67" t="s">
        <v>142</v>
      </c>
      <c r="CI1" s="79" t="s">
        <v>229</v>
      </c>
      <c r="CJ1" s="67"/>
      <c r="CK1" s="67"/>
      <c r="CL1" s="67"/>
      <c r="CM1" s="79"/>
      <c r="CN1" s="67"/>
      <c r="CO1" s="67"/>
      <c r="CP1" s="67"/>
      <c r="CQ1" s="67"/>
      <c r="CR1" s="67"/>
      <c r="CS1" s="67"/>
      <c r="CT1" s="67"/>
      <c r="CU1" s="79"/>
      <c r="CV1" s="67"/>
      <c r="CW1" s="67"/>
      <c r="CX1" s="67"/>
      <c r="CY1" s="67"/>
      <c r="CZ1" s="67"/>
      <c r="DA1" s="67"/>
      <c r="DB1" s="79"/>
      <c r="DC1" s="79"/>
      <c r="DD1" s="67"/>
      <c r="DE1" s="67"/>
      <c r="DF1" s="67"/>
      <c r="DG1" s="67"/>
      <c r="DH1" s="67"/>
      <c r="DI1" s="67"/>
      <c r="DJ1" s="67"/>
      <c r="DK1" s="67"/>
      <c r="DL1" s="67"/>
      <c r="DM1" s="67"/>
      <c r="DN1" s="67"/>
      <c r="DO1" s="67"/>
      <c r="DP1" s="67"/>
      <c r="DQ1" s="67"/>
      <c r="DR1" s="67"/>
      <c r="DS1" s="67"/>
      <c r="DT1" s="67"/>
      <c r="DU1" s="67"/>
      <c r="DV1" s="67"/>
      <c r="DW1" s="67"/>
      <c r="DX1" s="67"/>
      <c r="DY1" s="67"/>
      <c r="DZ1" s="67"/>
      <c r="EA1" s="67"/>
      <c r="EB1" s="67"/>
      <c r="EC1" s="67"/>
      <c r="ED1" s="67"/>
      <c r="EE1" s="67"/>
      <c r="EF1" s="67"/>
      <c r="EG1" s="67"/>
      <c r="EH1" s="67"/>
      <c r="EI1" s="67"/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79"/>
      <c r="FM1" s="67"/>
      <c r="FN1" s="67"/>
      <c r="FO1" s="67"/>
      <c r="FP1" s="79"/>
      <c r="FQ1" s="79"/>
      <c r="FR1" s="67"/>
      <c r="FS1" s="67"/>
      <c r="FT1" s="79"/>
      <c r="FU1" s="79"/>
      <c r="FV1" s="67"/>
      <c r="FW1" s="67"/>
      <c r="FX1" s="79"/>
      <c r="FY1" s="79"/>
      <c r="FZ1" s="67"/>
      <c r="GA1" s="67"/>
      <c r="GB1" s="79"/>
      <c r="GC1" s="79"/>
      <c r="GD1" s="67"/>
      <c r="GE1" s="67"/>
      <c r="GF1" s="79"/>
      <c r="GG1" s="67"/>
      <c r="GH1" s="67"/>
      <c r="GI1" s="67"/>
      <c r="GJ1" s="79"/>
      <c r="GK1" s="79"/>
      <c r="GL1" s="67"/>
      <c r="GM1" s="67"/>
      <c r="GN1" s="67"/>
      <c r="GO1" s="67"/>
      <c r="GP1" s="67"/>
      <c r="GQ1" s="67"/>
      <c r="GR1" s="79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7"/>
      <c r="II1" s="67"/>
      <c r="IJ1" s="67"/>
      <c r="IK1" s="67"/>
      <c r="IL1" s="67"/>
      <c r="IM1" s="67"/>
      <c r="IN1" s="67"/>
      <c r="IO1" s="67"/>
      <c r="IP1" s="67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7"/>
      <c r="LX1" s="67"/>
      <c r="LY1" s="67"/>
      <c r="LZ1" s="67"/>
      <c r="MA1" s="67"/>
      <c r="MB1" s="67"/>
      <c r="MC1" s="67"/>
      <c r="MD1" s="67"/>
      <c r="ME1" s="67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</row>
    <row r="10" spans="1:358" x14ac:dyDescent="0.2">
      <c r="KE10" s="69"/>
    </row>
    <row r="11" spans="1:358" x14ac:dyDescent="0.2">
      <c r="KE11" s="69"/>
    </row>
    <row r="12" spans="1:358" x14ac:dyDescent="0.2">
      <c r="KE12" s="69"/>
    </row>
    <row r="13" spans="1:358" x14ac:dyDescent="0.2">
      <c r="KE13" s="69"/>
    </row>
    <row r="14" spans="1:358" x14ac:dyDescent="0.2">
      <c r="KE14" s="69"/>
    </row>
    <row r="15" spans="1:358" x14ac:dyDescent="0.2">
      <c r="KE15" s="69"/>
    </row>
    <row r="16" spans="1:358" x14ac:dyDescent="0.2">
      <c r="KE16" s="69"/>
    </row>
    <row r="17" spans="291:291" x14ac:dyDescent="0.2">
      <c r="KE17" s="69"/>
    </row>
    <row r="18" spans="291:291" x14ac:dyDescent="0.2">
      <c r="KE18" s="69"/>
    </row>
    <row r="19" spans="291:291" x14ac:dyDescent="0.2">
      <c r="KE19" s="69"/>
    </row>
    <row r="20" spans="291:291" x14ac:dyDescent="0.2">
      <c r="KE20" s="69"/>
    </row>
    <row r="21" spans="291:291" x14ac:dyDescent="0.2">
      <c r="KE21" s="69"/>
    </row>
    <row r="22" spans="291:291" x14ac:dyDescent="0.2">
      <c r="KE22" s="69"/>
    </row>
    <row r="23" spans="291:291" x14ac:dyDescent="0.2">
      <c r="KE23" s="69"/>
    </row>
    <row r="24" spans="291:291" x14ac:dyDescent="0.2">
      <c r="KE24" s="69"/>
    </row>
    <row r="25" spans="291:291" x14ac:dyDescent="0.2">
      <c r="KE25" s="69"/>
    </row>
    <row r="26" spans="291:291" x14ac:dyDescent="0.2">
      <c r="KE26" s="69"/>
    </row>
    <row r="27" spans="291:291" x14ac:dyDescent="0.2">
      <c r="KE27" s="69"/>
    </row>
    <row r="28" spans="291:291" x14ac:dyDescent="0.2">
      <c r="KE28" s="69"/>
    </row>
    <row r="29" spans="291:291" x14ac:dyDescent="0.2">
      <c r="KE29" s="69"/>
    </row>
    <row r="30" spans="291:291" x14ac:dyDescent="0.2">
      <c r="KE30" s="69"/>
    </row>
    <row r="31" spans="291:291" x14ac:dyDescent="0.2">
      <c r="KE31" s="69"/>
    </row>
    <row r="32" spans="291:291" x14ac:dyDescent="0.2">
      <c r="KE32" s="69"/>
    </row>
    <row r="33" spans="291:291" x14ac:dyDescent="0.2">
      <c r="KE33" s="69"/>
    </row>
    <row r="34" spans="291:291" x14ac:dyDescent="0.2">
      <c r="KE34" s="69"/>
    </row>
    <row r="35" spans="291:291" x14ac:dyDescent="0.2">
      <c r="KE35" s="69"/>
    </row>
    <row r="37" spans="291:291" x14ac:dyDescent="0.2">
      <c r="KE37" s="69"/>
    </row>
    <row r="39" spans="291:291" x14ac:dyDescent="0.2">
      <c r="KE39" s="69"/>
    </row>
    <row r="41" spans="291:291" x14ac:dyDescent="0.2">
      <c r="KE41" s="69"/>
    </row>
    <row r="43" spans="291:291" x14ac:dyDescent="0.2">
      <c r="KE43" s="69"/>
    </row>
    <row r="45" spans="291:291" x14ac:dyDescent="0.2">
      <c r="KE45" s="69"/>
    </row>
    <row r="47" spans="291:291" x14ac:dyDescent="0.2">
      <c r="KE47" s="69"/>
    </row>
    <row r="49" spans="291:291" x14ac:dyDescent="0.2">
      <c r="KE49" s="69"/>
    </row>
    <row r="50" spans="291:291" x14ac:dyDescent="0.2">
      <c r="KE50" s="69"/>
    </row>
    <row r="53" spans="291:291" x14ac:dyDescent="0.2">
      <c r="KE53" s="69"/>
    </row>
    <row r="58" spans="291:291" x14ac:dyDescent="0.2">
      <c r="KE58" s="69"/>
    </row>
    <row r="60" spans="291:291" x14ac:dyDescent="0.2">
      <c r="KE60" s="69"/>
    </row>
    <row r="62" spans="291:291" x14ac:dyDescent="0.2">
      <c r="KE62" s="69"/>
    </row>
    <row r="64" spans="291:291" x14ac:dyDescent="0.2">
      <c r="KE64" s="69"/>
    </row>
    <row r="66" spans="291:291" x14ac:dyDescent="0.2">
      <c r="KE66" s="69"/>
    </row>
    <row r="68" spans="291:291" x14ac:dyDescent="0.2">
      <c r="KE68" s="69"/>
    </row>
    <row r="69" spans="291:291" x14ac:dyDescent="0.2">
      <c r="KE69" s="69"/>
    </row>
    <row r="71" spans="291:291" x14ac:dyDescent="0.2">
      <c r="KE71" s="69"/>
    </row>
    <row r="73" spans="291:291" x14ac:dyDescent="0.2">
      <c r="KE73" s="69"/>
    </row>
    <row r="76" spans="291:291" x14ac:dyDescent="0.2">
      <c r="KE76" s="69"/>
    </row>
    <row r="77" spans="291:291" x14ac:dyDescent="0.2">
      <c r="KE77" s="69"/>
    </row>
    <row r="78" spans="291:291" x14ac:dyDescent="0.2">
      <c r="KE78" s="69"/>
    </row>
    <row r="79" spans="291:291" x14ac:dyDescent="0.2">
      <c r="KE79" s="69"/>
    </row>
    <row r="80" spans="291:291" x14ac:dyDescent="0.2">
      <c r="KE80" s="69"/>
    </row>
    <row r="81" spans="291:291" x14ac:dyDescent="0.2">
      <c r="KE81" s="69"/>
    </row>
    <row r="82" spans="291:291" x14ac:dyDescent="0.2">
      <c r="KE82" s="69"/>
    </row>
    <row r="83" spans="291:291" x14ac:dyDescent="0.2">
      <c r="KE83" s="69"/>
    </row>
    <row r="85" spans="291:291" x14ac:dyDescent="0.2">
      <c r="KE85" s="69"/>
    </row>
    <row r="86" spans="291:291" x14ac:dyDescent="0.2">
      <c r="KE86" s="69"/>
    </row>
    <row r="87" spans="291:291" x14ac:dyDescent="0.2">
      <c r="KE87" s="69"/>
    </row>
    <row r="88" spans="291:291" x14ac:dyDescent="0.2">
      <c r="KE88" s="69"/>
    </row>
    <row r="89" spans="291:291" x14ac:dyDescent="0.2">
      <c r="KE89" s="69"/>
    </row>
    <row r="90" spans="291:291" x14ac:dyDescent="0.2">
      <c r="KE90" s="69"/>
    </row>
    <row r="93" spans="291:291" x14ac:dyDescent="0.2">
      <c r="KE93" s="69"/>
    </row>
    <row r="94" spans="291:291" x14ac:dyDescent="0.2">
      <c r="KE94" s="69"/>
    </row>
    <row r="95" spans="291:291" x14ac:dyDescent="0.2">
      <c r="KE95" s="69"/>
    </row>
    <row r="96" spans="291:291" x14ac:dyDescent="0.2">
      <c r="KE96" s="69"/>
    </row>
    <row r="97" spans="291:291" x14ac:dyDescent="0.2">
      <c r="KE97" s="69"/>
    </row>
    <row r="98" spans="291:291" x14ac:dyDescent="0.2">
      <c r="KE98" s="69"/>
    </row>
    <row r="99" spans="291:291" x14ac:dyDescent="0.2">
      <c r="KE99" s="69"/>
    </row>
    <row r="100" spans="291:291" x14ac:dyDescent="0.2">
      <c r="KE100" s="69"/>
    </row>
    <row r="101" spans="291:291" x14ac:dyDescent="0.2">
      <c r="KE101" s="69"/>
    </row>
    <row r="102" spans="291:291" x14ac:dyDescent="0.2">
      <c r="KE102" s="69"/>
    </row>
    <row r="103" spans="291:291" x14ac:dyDescent="0.2">
      <c r="KE103" s="69"/>
    </row>
    <row r="104" spans="291:291" x14ac:dyDescent="0.2">
      <c r="KE104" s="69"/>
    </row>
    <row r="105" spans="291:291" x14ac:dyDescent="0.2">
      <c r="KE105" s="69"/>
    </row>
    <row r="106" spans="291:291" x14ac:dyDescent="0.2">
      <c r="KE106" s="69"/>
    </row>
    <row r="107" spans="291:291" x14ac:dyDescent="0.2">
      <c r="KE107" s="69"/>
    </row>
    <row r="108" spans="291:291" x14ac:dyDescent="0.2">
      <c r="KE108" s="69"/>
    </row>
    <row r="109" spans="291:291" x14ac:dyDescent="0.2">
      <c r="KE109" s="69"/>
    </row>
    <row r="110" spans="291:291" x14ac:dyDescent="0.2">
      <c r="KE110" s="69"/>
    </row>
    <row r="111" spans="291:291" x14ac:dyDescent="0.2">
      <c r="KE111" s="69"/>
    </row>
    <row r="112" spans="291:291" x14ac:dyDescent="0.2">
      <c r="KE112" s="69"/>
    </row>
    <row r="113" spans="291:291" x14ac:dyDescent="0.2">
      <c r="KE113" s="69"/>
    </row>
    <row r="114" spans="291:291" x14ac:dyDescent="0.2">
      <c r="KE114" s="69"/>
    </row>
    <row r="115" spans="291:291" x14ac:dyDescent="0.2">
      <c r="KE115" s="69"/>
    </row>
    <row r="116" spans="291:291" x14ac:dyDescent="0.2">
      <c r="KE116" s="69"/>
    </row>
    <row r="117" spans="291:291" x14ac:dyDescent="0.2">
      <c r="KE117" s="69"/>
    </row>
    <row r="118" spans="291:291" x14ac:dyDescent="0.2">
      <c r="KE118" s="69"/>
    </row>
    <row r="119" spans="291:291" x14ac:dyDescent="0.2">
      <c r="KE119" s="69"/>
    </row>
    <row r="120" spans="291:291" x14ac:dyDescent="0.2">
      <c r="KE120" s="69"/>
    </row>
    <row r="122" spans="291:291" x14ac:dyDescent="0.2">
      <c r="KE122" s="69"/>
    </row>
    <row r="123" spans="291:291" x14ac:dyDescent="0.2">
      <c r="KE123" s="69"/>
    </row>
    <row r="124" spans="291:291" x14ac:dyDescent="0.2">
      <c r="KE124" s="69"/>
    </row>
    <row r="125" spans="291:291" x14ac:dyDescent="0.2">
      <c r="KE125" s="69"/>
    </row>
    <row r="126" spans="291:291" x14ac:dyDescent="0.2">
      <c r="KE126" s="69"/>
    </row>
    <row r="137" spans="291:291" x14ac:dyDescent="0.2">
      <c r="KE137" s="69"/>
    </row>
    <row r="141" spans="291:291" x14ac:dyDescent="0.2">
      <c r="KE141" s="69"/>
    </row>
    <row r="152" spans="291:291" x14ac:dyDescent="0.2">
      <c r="KE152" s="69"/>
    </row>
    <row r="154" spans="291:291" x14ac:dyDescent="0.2">
      <c r="KE154" s="69"/>
    </row>
    <row r="155" spans="291:291" x14ac:dyDescent="0.2">
      <c r="KE155" s="69"/>
    </row>
    <row r="189" spans="291:291" x14ac:dyDescent="0.2">
      <c r="KE189" s="69"/>
    </row>
    <row r="190" spans="291:291" x14ac:dyDescent="0.2">
      <c r="KE190" s="69"/>
    </row>
    <row r="192" spans="291:291" x14ac:dyDescent="0.2">
      <c r="KE192" s="69"/>
    </row>
    <row r="196" spans="291:291" x14ac:dyDescent="0.2">
      <c r="KE196" s="69"/>
    </row>
    <row r="255" spans="291:291" x14ac:dyDescent="0.2">
      <c r="KE255" s="69"/>
    </row>
    <row r="276" spans="291:291" x14ac:dyDescent="0.2">
      <c r="KE276" s="69"/>
    </row>
    <row r="293" spans="291:291" x14ac:dyDescent="0.2">
      <c r="KE293" s="69"/>
    </row>
    <row r="299" spans="291:291" x14ac:dyDescent="0.2">
      <c r="KE299" s="69"/>
    </row>
    <row r="307" spans="291:291" x14ac:dyDescent="0.2">
      <c r="KE307" s="69"/>
    </row>
    <row r="311" spans="291:291" x14ac:dyDescent="0.2">
      <c r="KE311" s="69"/>
    </row>
    <row r="329" spans="291:291" x14ac:dyDescent="0.2">
      <c r="KE329" s="69"/>
    </row>
    <row r="337" spans="291:291" x14ac:dyDescent="0.2">
      <c r="KE337" s="69"/>
    </row>
    <row r="338" spans="291:291" x14ac:dyDescent="0.2">
      <c r="KE338" s="69"/>
    </row>
    <row r="339" spans="291:291" x14ac:dyDescent="0.2">
      <c r="KE339" s="69"/>
    </row>
    <row r="340" spans="291:291" x14ac:dyDescent="0.2">
      <c r="KE340" s="69"/>
    </row>
    <row r="341" spans="291:291" x14ac:dyDescent="0.2">
      <c r="KE341" s="69"/>
    </row>
    <row r="342" spans="291:291" x14ac:dyDescent="0.2">
      <c r="KE342" s="69"/>
    </row>
    <row r="343" spans="291:291" x14ac:dyDescent="0.2">
      <c r="KE343" s="69"/>
    </row>
    <row r="344" spans="291:291" x14ac:dyDescent="0.2">
      <c r="KE344" s="69"/>
    </row>
    <row r="345" spans="291:291" x14ac:dyDescent="0.2">
      <c r="KE345" s="69"/>
    </row>
    <row r="346" spans="291:291" x14ac:dyDescent="0.2">
      <c r="KE346" s="69"/>
    </row>
    <row r="347" spans="291:291" x14ac:dyDescent="0.2">
      <c r="KE347" s="69"/>
    </row>
    <row r="348" spans="291:291" x14ac:dyDescent="0.2">
      <c r="KE348" s="69"/>
    </row>
    <row r="361" spans="291:291" x14ac:dyDescent="0.2">
      <c r="KE361" s="69"/>
    </row>
    <row r="362" spans="291:291" x14ac:dyDescent="0.2">
      <c r="KE362" s="69"/>
    </row>
    <row r="365" spans="291:291" x14ac:dyDescent="0.2">
      <c r="KE365" s="69"/>
    </row>
    <row r="391" spans="291:291" x14ac:dyDescent="0.2">
      <c r="KE391" s="69"/>
    </row>
    <row r="396" spans="291:291" x14ac:dyDescent="0.2">
      <c r="KE396" s="69"/>
    </row>
    <row r="402" spans="291:291" x14ac:dyDescent="0.2">
      <c r="KE402" s="69"/>
    </row>
    <row r="422" spans="291:291" x14ac:dyDescent="0.2">
      <c r="KE422" s="69"/>
    </row>
    <row r="434" spans="291:291" x14ac:dyDescent="0.2">
      <c r="KE434" s="69"/>
    </row>
    <row r="470" spans="291:291" x14ac:dyDescent="0.2">
      <c r="KE470" s="69"/>
    </row>
    <row r="479" spans="291:291" x14ac:dyDescent="0.2">
      <c r="KE479" s="69"/>
    </row>
    <row r="481" spans="291:291" x14ac:dyDescent="0.2">
      <c r="KE481" s="69"/>
    </row>
    <row r="483" spans="291:291" x14ac:dyDescent="0.2">
      <c r="KE483" s="69"/>
    </row>
    <row r="484" spans="291:291" x14ac:dyDescent="0.2">
      <c r="KE484" s="69"/>
    </row>
    <row r="485" spans="291:291" x14ac:dyDescent="0.2">
      <c r="KE485" s="69"/>
    </row>
    <row r="493" spans="291:291" x14ac:dyDescent="0.2">
      <c r="KE493" s="69"/>
    </row>
    <row r="526" spans="291:291" x14ac:dyDescent="0.2">
      <c r="KE526" s="69"/>
    </row>
    <row r="527" spans="291:291" x14ac:dyDescent="0.2">
      <c r="KE527" s="69"/>
    </row>
    <row r="528" spans="291:291" x14ac:dyDescent="0.2">
      <c r="KE528" s="69"/>
    </row>
    <row r="529" spans="291:291" x14ac:dyDescent="0.2">
      <c r="KE529" s="69"/>
    </row>
    <row r="530" spans="291:291" x14ac:dyDescent="0.2">
      <c r="KE530" s="69"/>
    </row>
    <row r="531" spans="291:291" x14ac:dyDescent="0.2">
      <c r="KE531" s="69"/>
    </row>
    <row r="532" spans="291:291" x14ac:dyDescent="0.2">
      <c r="KE532" s="69"/>
    </row>
    <row r="539" spans="291:291" x14ac:dyDescent="0.2">
      <c r="KE539" s="69"/>
    </row>
    <row r="542" spans="291:291" x14ac:dyDescent="0.2">
      <c r="KE542" s="69"/>
    </row>
    <row r="543" spans="291:291" x14ac:dyDescent="0.2">
      <c r="KE543" s="69"/>
    </row>
    <row r="550" spans="291:291" x14ac:dyDescent="0.2">
      <c r="KE550" s="69"/>
    </row>
    <row r="553" spans="291:291" x14ac:dyDescent="0.2">
      <c r="KE553" s="69"/>
    </row>
    <row r="556" spans="291:291" x14ac:dyDescent="0.2">
      <c r="KE556" s="69"/>
    </row>
    <row r="557" spans="291:291" x14ac:dyDescent="0.2">
      <c r="KE557" s="69"/>
    </row>
    <row r="558" spans="291:291" x14ac:dyDescent="0.2">
      <c r="KE558" s="69"/>
    </row>
    <row r="560" spans="291:291" x14ac:dyDescent="0.2">
      <c r="KE560" s="69"/>
    </row>
    <row r="562" spans="291:291" x14ac:dyDescent="0.2">
      <c r="KE562" s="69"/>
    </row>
    <row r="563" spans="291:291" x14ac:dyDescent="0.2">
      <c r="KE563" s="69"/>
    </row>
    <row r="564" spans="291:291" x14ac:dyDescent="0.2">
      <c r="KE564" s="69"/>
    </row>
    <row r="566" spans="291:291" x14ac:dyDescent="0.2">
      <c r="KE566" s="69"/>
    </row>
    <row r="567" spans="291:291" x14ac:dyDescent="0.2">
      <c r="KE567" s="69"/>
    </row>
    <row r="569" spans="291:291" x14ac:dyDescent="0.2">
      <c r="KE569" s="69"/>
    </row>
    <row r="573" spans="291:291" x14ac:dyDescent="0.2">
      <c r="KE573" s="69"/>
    </row>
    <row r="574" spans="291:291" x14ac:dyDescent="0.2">
      <c r="KE574" s="69"/>
    </row>
    <row r="577" spans="291:291" x14ac:dyDescent="0.2">
      <c r="KE577" s="69"/>
    </row>
    <row r="578" spans="291:291" x14ac:dyDescent="0.2">
      <c r="KE578" s="69"/>
    </row>
    <row r="579" spans="291:291" x14ac:dyDescent="0.2">
      <c r="KE579" s="69"/>
    </row>
    <row r="582" spans="291:291" x14ac:dyDescent="0.2">
      <c r="KE582" s="69"/>
    </row>
    <row r="596" spans="291:291" x14ac:dyDescent="0.2">
      <c r="KE596" s="69"/>
    </row>
    <row r="597" spans="291:291" x14ac:dyDescent="0.2">
      <c r="KE597" s="69"/>
    </row>
    <row r="598" spans="291:291" x14ac:dyDescent="0.2">
      <c r="KE598" s="69"/>
    </row>
    <row r="599" spans="291:291" x14ac:dyDescent="0.2">
      <c r="KE599" s="69"/>
    </row>
    <row r="600" spans="291:291" x14ac:dyDescent="0.2">
      <c r="KE600" s="69"/>
    </row>
    <row r="601" spans="291:291" x14ac:dyDescent="0.2">
      <c r="KE601" s="69"/>
    </row>
    <row r="614" spans="291:291" x14ac:dyDescent="0.2">
      <c r="KE614" s="69"/>
    </row>
    <row r="622" spans="291:291" x14ac:dyDescent="0.2">
      <c r="KE622" s="69"/>
    </row>
    <row r="624" spans="291:291" x14ac:dyDescent="0.2">
      <c r="KE624" s="69"/>
    </row>
    <row r="644" spans="291:291" x14ac:dyDescent="0.2">
      <c r="KE644" s="69"/>
    </row>
    <row r="659" spans="291:291" x14ac:dyDescent="0.2">
      <c r="KE659" s="69"/>
    </row>
    <row r="663" spans="291:291" x14ac:dyDescent="0.2">
      <c r="KE663" s="69"/>
    </row>
    <row r="665" spans="291:291" x14ac:dyDescent="0.2">
      <c r="KE665" s="69"/>
    </row>
    <row r="673" spans="291:291" x14ac:dyDescent="0.2">
      <c r="KE673" s="69"/>
    </row>
    <row r="675" spans="291:291" x14ac:dyDescent="0.2">
      <c r="KE675" s="69"/>
    </row>
    <row r="712" spans="291:291" x14ac:dyDescent="0.2">
      <c r="KE712" s="69"/>
    </row>
    <row r="737" spans="291:291" x14ac:dyDescent="0.2">
      <c r="KE737" s="69"/>
    </row>
    <row r="744" spans="291:291" x14ac:dyDescent="0.2">
      <c r="KE744" s="69"/>
    </row>
    <row r="790" spans="291:291" x14ac:dyDescent="0.2">
      <c r="KE790" s="69"/>
    </row>
    <row r="792" spans="291:291" x14ac:dyDescent="0.2">
      <c r="KE792" s="69"/>
    </row>
    <row r="796" spans="291:291" x14ac:dyDescent="0.2">
      <c r="KE796" s="69"/>
    </row>
    <row r="797" spans="291:291" x14ac:dyDescent="0.2">
      <c r="KE797" s="69"/>
    </row>
    <row r="803" spans="291:291" x14ac:dyDescent="0.2">
      <c r="KE803" s="69"/>
    </row>
    <row r="805" spans="291:291" x14ac:dyDescent="0.2">
      <c r="KE805" s="69"/>
    </row>
    <row r="806" spans="291:291" x14ac:dyDescent="0.2">
      <c r="KE806" s="69"/>
    </row>
    <row r="829" spans="291:291" x14ac:dyDescent="0.2">
      <c r="KE829" s="69"/>
    </row>
    <row r="830" spans="291:291" x14ac:dyDescent="0.2">
      <c r="KE830" s="69"/>
    </row>
    <row r="831" spans="291:291" x14ac:dyDescent="0.2">
      <c r="KE831" s="69"/>
    </row>
    <row r="832" spans="291:291" x14ac:dyDescent="0.2">
      <c r="KE832" s="69"/>
    </row>
    <row r="833" spans="291:291" x14ac:dyDescent="0.2">
      <c r="KE833" s="69"/>
    </row>
    <row r="835" spans="291:291" x14ac:dyDescent="0.2">
      <c r="KE835" s="69"/>
    </row>
    <row r="847" spans="291:291" x14ac:dyDescent="0.2">
      <c r="KE847" s="69"/>
    </row>
    <row r="855" spans="291:291" x14ac:dyDescent="0.2">
      <c r="KE855" s="69"/>
    </row>
    <row r="856" spans="291:291" x14ac:dyDescent="0.2">
      <c r="KE856" s="69"/>
    </row>
    <row r="857" spans="291:291" x14ac:dyDescent="0.2">
      <c r="KE857" s="69"/>
    </row>
    <row r="858" spans="291:291" x14ac:dyDescent="0.2">
      <c r="KE858" s="69"/>
    </row>
    <row r="859" spans="291:291" x14ac:dyDescent="0.2">
      <c r="KE859" s="69"/>
    </row>
    <row r="860" spans="291:291" x14ac:dyDescent="0.2">
      <c r="KE860" s="69"/>
    </row>
    <row r="861" spans="291:291" x14ac:dyDescent="0.2">
      <c r="KE861" s="69"/>
    </row>
    <row r="862" spans="291:291" x14ac:dyDescent="0.2">
      <c r="KE862" s="69"/>
    </row>
    <row r="863" spans="291:291" x14ac:dyDescent="0.2">
      <c r="KE863" s="69"/>
    </row>
    <row r="864" spans="291:291" x14ac:dyDescent="0.2">
      <c r="KE864" s="69"/>
    </row>
    <row r="867" spans="291:291" x14ac:dyDescent="0.2">
      <c r="KE867" s="69"/>
    </row>
    <row r="868" spans="291:291" x14ac:dyDescent="0.2">
      <c r="KE868" s="69"/>
    </row>
    <row r="869" spans="291:291" x14ac:dyDescent="0.2">
      <c r="KE869" s="69"/>
    </row>
    <row r="870" spans="291:291" x14ac:dyDescent="0.2">
      <c r="KE870" s="69"/>
    </row>
    <row r="871" spans="291:291" x14ac:dyDescent="0.2">
      <c r="KE871" s="69"/>
    </row>
    <row r="872" spans="291:291" x14ac:dyDescent="0.2">
      <c r="KE872" s="69"/>
    </row>
    <row r="908" spans="291:291" x14ac:dyDescent="0.2">
      <c r="KE908" s="69"/>
    </row>
    <row r="942" spans="291:291" x14ac:dyDescent="0.2">
      <c r="KE942" s="69"/>
    </row>
    <row r="962" spans="291:291" x14ac:dyDescent="0.2">
      <c r="KE962" s="69"/>
    </row>
    <row r="963" spans="291:291" x14ac:dyDescent="0.2">
      <c r="KE963" s="69"/>
    </row>
    <row r="964" spans="291:291" x14ac:dyDescent="0.2">
      <c r="KE964" s="69"/>
    </row>
    <row r="985" spans="291:291" x14ac:dyDescent="0.2">
      <c r="KE985" s="69"/>
    </row>
    <row r="986" spans="291:291" x14ac:dyDescent="0.2">
      <c r="KE986" s="69"/>
    </row>
    <row r="990" spans="291:291" x14ac:dyDescent="0.2">
      <c r="KE990" s="69"/>
    </row>
    <row r="992" spans="291:291" x14ac:dyDescent="0.2">
      <c r="KE992" s="69"/>
    </row>
    <row r="993" spans="291:291" x14ac:dyDescent="0.2">
      <c r="KE993" s="69"/>
    </row>
    <row r="999" spans="291:291" x14ac:dyDescent="0.2">
      <c r="KE999" s="69"/>
    </row>
    <row r="1001" spans="291:291" x14ac:dyDescent="0.2">
      <c r="KE1001" s="69"/>
    </row>
    <row r="1005" spans="291:291" x14ac:dyDescent="0.2">
      <c r="KE1005" s="69"/>
    </row>
    <row r="1049" spans="291:291" x14ac:dyDescent="0.2">
      <c r="KE1049" s="69"/>
    </row>
    <row r="1053" spans="291:291" x14ac:dyDescent="0.2">
      <c r="KE1053" s="69"/>
    </row>
    <row r="1057" spans="291:291" x14ac:dyDescent="0.2">
      <c r="KE1057" s="69"/>
    </row>
    <row r="1069" spans="291:291" x14ac:dyDescent="0.2">
      <c r="KE1069" s="69"/>
    </row>
    <row r="1077" spans="291:291" x14ac:dyDescent="0.2">
      <c r="KE1077" s="69"/>
    </row>
    <row r="1079" spans="291:291" x14ac:dyDescent="0.2">
      <c r="KE1079" s="69"/>
    </row>
    <row r="1080" spans="291:291" x14ac:dyDescent="0.2">
      <c r="KE1080" s="69"/>
    </row>
    <row r="1081" spans="291:291" x14ac:dyDescent="0.2">
      <c r="KE1081" s="69"/>
    </row>
    <row r="1082" spans="291:291" x14ac:dyDescent="0.2">
      <c r="KE1082" s="69"/>
    </row>
    <row r="1098" spans="291:291" x14ac:dyDescent="0.2">
      <c r="KE1098" s="69"/>
    </row>
    <row r="1102" spans="291:291" x14ac:dyDescent="0.2">
      <c r="KE1102" s="69"/>
    </row>
    <row r="1104" spans="291:291" x14ac:dyDescent="0.2">
      <c r="KE1104" s="69"/>
    </row>
    <row r="1106" spans="291:291" x14ac:dyDescent="0.2">
      <c r="KE1106" s="69"/>
    </row>
    <row r="1107" spans="291:291" x14ac:dyDescent="0.2">
      <c r="KE1107" s="69"/>
    </row>
    <row r="1108" spans="291:291" x14ac:dyDescent="0.2">
      <c r="KE1108" s="69"/>
    </row>
    <row r="1109" spans="291:291" x14ac:dyDescent="0.2">
      <c r="KE1109" s="69"/>
    </row>
    <row r="1120" spans="291:291" x14ac:dyDescent="0.2">
      <c r="KE1120" s="69"/>
    </row>
    <row r="1127" spans="291:291" x14ac:dyDescent="0.2">
      <c r="KE1127" s="69"/>
    </row>
    <row r="1158" spans="291:291" x14ac:dyDescent="0.2">
      <c r="KE1158" s="69"/>
    </row>
    <row r="1171" spans="291:291" x14ac:dyDescent="0.2">
      <c r="KE1171" s="69"/>
    </row>
    <row r="1195" spans="291:291" x14ac:dyDescent="0.2">
      <c r="KE1195" s="69"/>
    </row>
    <row r="1227" spans="291:291" x14ac:dyDescent="0.2">
      <c r="KE1227" s="69"/>
    </row>
    <row r="1229" spans="291:291" x14ac:dyDescent="0.2">
      <c r="KE1229" s="69"/>
    </row>
    <row r="1256" spans="291:291" x14ac:dyDescent="0.2">
      <c r="KE1256" s="69"/>
    </row>
    <row r="1285" spans="291:291" x14ac:dyDescent="0.2">
      <c r="KE1285" s="69"/>
    </row>
    <row r="1303" spans="291:291" x14ac:dyDescent="0.2">
      <c r="KE1303" s="69"/>
    </row>
    <row r="1305" spans="291:291" x14ac:dyDescent="0.2">
      <c r="KE1305" s="69"/>
    </row>
    <row r="1320" spans="291:291" x14ac:dyDescent="0.2">
      <c r="KE1320" s="69"/>
    </row>
    <row r="1321" spans="291:291" x14ac:dyDescent="0.2">
      <c r="KE1321" s="69"/>
    </row>
    <row r="1323" spans="291:291" x14ac:dyDescent="0.2">
      <c r="KE1323" s="69"/>
    </row>
    <row r="1332" spans="291:291" x14ac:dyDescent="0.2">
      <c r="KE1332" s="69"/>
    </row>
    <row r="1344" spans="291:291" x14ac:dyDescent="0.2">
      <c r="KE1344" s="69"/>
    </row>
    <row r="1357" spans="291:291" x14ac:dyDescent="0.2">
      <c r="KE1357" s="69"/>
    </row>
    <row r="1358" spans="291:291" x14ac:dyDescent="0.2">
      <c r="KE1358" s="69"/>
    </row>
    <row r="1359" spans="291:291" x14ac:dyDescent="0.2">
      <c r="KE1359" s="69"/>
    </row>
    <row r="1360" spans="291:291" x14ac:dyDescent="0.2">
      <c r="KE1360" s="69"/>
    </row>
    <row r="1427" spans="291:291" x14ac:dyDescent="0.2">
      <c r="KE1427" s="69"/>
    </row>
    <row r="1435" spans="291:291" x14ac:dyDescent="0.2">
      <c r="KE1435" s="69"/>
    </row>
    <row r="1437" spans="291:291" x14ac:dyDescent="0.2">
      <c r="KE1437" s="69"/>
    </row>
    <row r="1439" spans="291:291" x14ac:dyDescent="0.2">
      <c r="KE1439" s="69"/>
    </row>
    <row r="1466" spans="291:291" x14ac:dyDescent="0.2">
      <c r="KE1466" s="69"/>
    </row>
    <row r="1474" spans="291:291" x14ac:dyDescent="0.2">
      <c r="KE1474" s="69"/>
    </row>
    <row r="1476" spans="291:291" x14ac:dyDescent="0.2">
      <c r="KE1476" s="69"/>
    </row>
    <row r="1486" spans="291:291" x14ac:dyDescent="0.2">
      <c r="KE1486" s="69"/>
    </row>
    <row r="1488" spans="291:291" x14ac:dyDescent="0.2">
      <c r="KE1488" s="69"/>
    </row>
    <row r="1497" spans="291:291" x14ac:dyDescent="0.2">
      <c r="KE1497" s="69"/>
    </row>
    <row r="1499" spans="291:291" x14ac:dyDescent="0.2">
      <c r="KE1499" s="69"/>
    </row>
    <row r="1502" spans="291:291" x14ac:dyDescent="0.2">
      <c r="KE1502" s="69"/>
    </row>
    <row r="1503" spans="291:291" x14ac:dyDescent="0.2">
      <c r="KE1503" s="69"/>
    </row>
    <row r="1529" spans="291:291" x14ac:dyDescent="0.2">
      <c r="KE1529" s="69"/>
    </row>
    <row r="1540" spans="291:291" x14ac:dyDescent="0.2">
      <c r="KE1540" s="69"/>
    </row>
    <row r="1559" spans="291:291" x14ac:dyDescent="0.2">
      <c r="KE1559" s="69"/>
    </row>
    <row r="1561" spans="291:291" x14ac:dyDescent="0.2">
      <c r="KE1561" s="69"/>
    </row>
    <row r="1627" spans="291:291" x14ac:dyDescent="0.2">
      <c r="KE1627" s="69"/>
    </row>
    <row r="1628" spans="291:291" x14ac:dyDescent="0.2">
      <c r="KE1628" s="69"/>
    </row>
    <row r="1630" spans="291:291" x14ac:dyDescent="0.2">
      <c r="KE1630" s="69"/>
    </row>
    <row r="1632" spans="291:291" x14ac:dyDescent="0.2">
      <c r="KE1632" s="69"/>
    </row>
    <row r="1633" spans="291:291" x14ac:dyDescent="0.2">
      <c r="KE1633" s="69"/>
    </row>
    <row r="1634" spans="291:291" x14ac:dyDescent="0.2">
      <c r="KE1634" s="69"/>
    </row>
    <row r="1635" spans="291:291" x14ac:dyDescent="0.2">
      <c r="KE1635" s="69"/>
    </row>
    <row r="1636" spans="291:291" x14ac:dyDescent="0.2">
      <c r="KE1636" s="69"/>
    </row>
    <row r="1637" spans="291:291" x14ac:dyDescent="0.2">
      <c r="KE1637" s="69"/>
    </row>
    <row r="1638" spans="291:291" x14ac:dyDescent="0.2">
      <c r="KE1638" s="69"/>
    </row>
    <row r="1639" spans="291:291" x14ac:dyDescent="0.2">
      <c r="KE1639" s="69"/>
    </row>
    <row r="1640" spans="291:291" x14ac:dyDescent="0.2">
      <c r="KE1640" s="69"/>
    </row>
    <row r="1641" spans="291:291" x14ac:dyDescent="0.2">
      <c r="KE1641" s="69"/>
    </row>
    <row r="1642" spans="291:291" x14ac:dyDescent="0.2">
      <c r="KE1642" s="69"/>
    </row>
    <row r="1643" spans="291:291" x14ac:dyDescent="0.2">
      <c r="KE1643" s="69"/>
    </row>
    <row r="1644" spans="291:291" x14ac:dyDescent="0.2">
      <c r="KE1644" s="69"/>
    </row>
    <row r="1645" spans="291:291" x14ac:dyDescent="0.2">
      <c r="KE1645" s="69"/>
    </row>
    <row r="1646" spans="291:291" x14ac:dyDescent="0.2">
      <c r="KE1646" s="69"/>
    </row>
    <row r="1647" spans="291:291" x14ac:dyDescent="0.2">
      <c r="KE1647" s="69"/>
    </row>
    <row r="1648" spans="291:291" x14ac:dyDescent="0.2">
      <c r="KE1648" s="69"/>
    </row>
    <row r="1649" spans="291:291" x14ac:dyDescent="0.2">
      <c r="KE1649" s="69"/>
    </row>
    <row r="1650" spans="291:291" x14ac:dyDescent="0.2">
      <c r="KE1650" s="69"/>
    </row>
    <row r="1651" spans="291:291" x14ac:dyDescent="0.2">
      <c r="KE1651" s="69"/>
    </row>
    <row r="1652" spans="291:291" x14ac:dyDescent="0.2">
      <c r="KE1652" s="69"/>
    </row>
    <row r="1653" spans="291:291" x14ac:dyDescent="0.2">
      <c r="KE1653" s="69"/>
    </row>
    <row r="1654" spans="291:291" x14ac:dyDescent="0.2">
      <c r="KE1654" s="69"/>
    </row>
    <row r="1655" spans="291:291" x14ac:dyDescent="0.2">
      <c r="KE1655" s="69"/>
    </row>
    <row r="1656" spans="291:291" x14ac:dyDescent="0.2">
      <c r="KE1656" s="69"/>
    </row>
    <row r="1657" spans="291:291" x14ac:dyDescent="0.2">
      <c r="KE1657" s="69"/>
    </row>
    <row r="1658" spans="291:291" x14ac:dyDescent="0.2">
      <c r="KE1658" s="69"/>
    </row>
    <row r="1659" spans="291:291" x14ac:dyDescent="0.2">
      <c r="KE1659" s="69"/>
    </row>
    <row r="1660" spans="291:291" x14ac:dyDescent="0.2">
      <c r="KE1660" s="69"/>
    </row>
    <row r="1661" spans="291:291" x14ac:dyDescent="0.2">
      <c r="KE1661" s="69"/>
    </row>
    <row r="1662" spans="291:291" x14ac:dyDescent="0.2">
      <c r="KE1662" s="69"/>
    </row>
    <row r="1663" spans="291:291" x14ac:dyDescent="0.2">
      <c r="KE1663" s="69"/>
    </row>
    <row r="1664" spans="291:291" x14ac:dyDescent="0.2">
      <c r="KE1664" s="69"/>
    </row>
    <row r="1665" spans="291:291" x14ac:dyDescent="0.2">
      <c r="KE1665" s="69"/>
    </row>
    <row r="1666" spans="291:291" x14ac:dyDescent="0.2">
      <c r="KE1666" s="69"/>
    </row>
    <row r="1667" spans="291:291" x14ac:dyDescent="0.2">
      <c r="KE1667" s="69"/>
    </row>
    <row r="1668" spans="291:291" x14ac:dyDescent="0.2">
      <c r="KE1668" s="69"/>
    </row>
    <row r="1669" spans="291:291" x14ac:dyDescent="0.2">
      <c r="KE1669" s="69"/>
    </row>
    <row r="1670" spans="291:291" x14ac:dyDescent="0.2">
      <c r="KE1670" s="69"/>
    </row>
    <row r="1671" spans="291:291" x14ac:dyDescent="0.2">
      <c r="KE1671" s="69"/>
    </row>
    <row r="1672" spans="291:291" x14ac:dyDescent="0.2">
      <c r="KE1672" s="69"/>
    </row>
    <row r="1673" spans="291:291" x14ac:dyDescent="0.2">
      <c r="KE1673" s="69"/>
    </row>
    <row r="1674" spans="291:291" x14ac:dyDescent="0.2">
      <c r="KE1674" s="69"/>
    </row>
    <row r="1675" spans="291:291" x14ac:dyDescent="0.2">
      <c r="KE1675" s="69"/>
    </row>
    <row r="1676" spans="291:291" x14ac:dyDescent="0.2">
      <c r="KE1676" s="69"/>
    </row>
    <row r="1677" spans="291:291" x14ac:dyDescent="0.2">
      <c r="KE1677" s="69"/>
    </row>
    <row r="1678" spans="291:291" x14ac:dyDescent="0.2">
      <c r="KE1678" s="69"/>
    </row>
    <row r="1679" spans="291:291" x14ac:dyDescent="0.2">
      <c r="KE1679" s="69"/>
    </row>
    <row r="1680" spans="291:291" x14ac:dyDescent="0.2">
      <c r="KE1680" s="69"/>
    </row>
    <row r="1681" spans="291:291" x14ac:dyDescent="0.2">
      <c r="KE1681" s="69"/>
    </row>
    <row r="1682" spans="291:291" x14ac:dyDescent="0.2">
      <c r="KE1682" s="69"/>
    </row>
    <row r="1683" spans="291:291" x14ac:dyDescent="0.2">
      <c r="KE1683" s="69"/>
    </row>
    <row r="1684" spans="291:291" x14ac:dyDescent="0.2">
      <c r="KE1684" s="69"/>
    </row>
    <row r="1685" spans="291:291" x14ac:dyDescent="0.2">
      <c r="KE1685" s="69"/>
    </row>
    <row r="1686" spans="291:291" x14ac:dyDescent="0.2">
      <c r="KE1686" s="69"/>
    </row>
    <row r="1687" spans="291:291" x14ac:dyDescent="0.2">
      <c r="KE1687" s="69"/>
    </row>
    <row r="1688" spans="291:291" x14ac:dyDescent="0.2">
      <c r="KE1688" s="69"/>
    </row>
    <row r="1689" spans="291:291" x14ac:dyDescent="0.2">
      <c r="KE1689" s="69"/>
    </row>
    <row r="1690" spans="291:291" x14ac:dyDescent="0.2">
      <c r="KE1690" s="69"/>
    </row>
    <row r="1691" spans="291:291" x14ac:dyDescent="0.2">
      <c r="KE1691" s="69"/>
    </row>
    <row r="1692" spans="291:291" x14ac:dyDescent="0.2">
      <c r="KE1692" s="69"/>
    </row>
    <row r="1693" spans="291:291" x14ac:dyDescent="0.2">
      <c r="KE1693" s="69"/>
    </row>
    <row r="1694" spans="291:291" x14ac:dyDescent="0.2">
      <c r="KE1694" s="69"/>
    </row>
    <row r="1695" spans="291:291" x14ac:dyDescent="0.2">
      <c r="KE1695" s="69"/>
    </row>
    <row r="1696" spans="291:291" x14ac:dyDescent="0.2">
      <c r="KE1696" s="69"/>
    </row>
    <row r="1697" spans="291:291" x14ac:dyDescent="0.2">
      <c r="KE1697" s="69"/>
    </row>
    <row r="1698" spans="291:291" x14ac:dyDescent="0.2">
      <c r="KE1698" s="69"/>
    </row>
    <row r="1699" spans="291:291" x14ac:dyDescent="0.2">
      <c r="KE1699" s="69"/>
    </row>
    <row r="1700" spans="291:291" x14ac:dyDescent="0.2">
      <c r="KE1700" s="69"/>
    </row>
    <row r="1701" spans="291:291" x14ac:dyDescent="0.2">
      <c r="KE1701" s="69"/>
    </row>
    <row r="1712" spans="291:291" x14ac:dyDescent="0.2">
      <c r="KE1712" s="69"/>
    </row>
    <row r="1766" spans="291:291" x14ac:dyDescent="0.2">
      <c r="KE1766" s="69"/>
    </row>
    <row r="1767" spans="291:291" x14ac:dyDescent="0.2">
      <c r="KE1767" s="69"/>
    </row>
    <row r="1768" spans="291:291" x14ac:dyDescent="0.2">
      <c r="KE1768" s="69"/>
    </row>
    <row r="1769" spans="291:291" x14ac:dyDescent="0.2">
      <c r="KE1769" s="69"/>
    </row>
    <row r="1771" spans="291:291" x14ac:dyDescent="0.2">
      <c r="KE1771" s="69"/>
    </row>
    <row r="1775" spans="291:291" x14ac:dyDescent="0.2">
      <c r="KE1775" s="69"/>
    </row>
    <row r="1792" spans="291:291" x14ac:dyDescent="0.2">
      <c r="KE1792" s="69"/>
    </row>
    <row r="1800" spans="291:291" x14ac:dyDescent="0.2">
      <c r="KE1800" s="69"/>
    </row>
    <row r="1801" spans="291:291" x14ac:dyDescent="0.2">
      <c r="KE1801" s="69"/>
    </row>
    <row r="1802" spans="291:291" x14ac:dyDescent="0.2">
      <c r="KE1802" s="69"/>
    </row>
    <row r="1803" spans="291:291" x14ac:dyDescent="0.2">
      <c r="KE1803" s="69"/>
    </row>
    <row r="1804" spans="291:291" x14ac:dyDescent="0.2">
      <c r="KE1804" s="69"/>
    </row>
    <row r="1805" spans="291:291" x14ac:dyDescent="0.2">
      <c r="KE1805" s="69"/>
    </row>
    <row r="1855" spans="291:291" x14ac:dyDescent="0.2">
      <c r="KE1855" s="69"/>
    </row>
    <row r="1863" spans="291:291" x14ac:dyDescent="0.2">
      <c r="KE1863" s="69"/>
    </row>
    <row r="1869" spans="291:291" x14ac:dyDescent="0.2">
      <c r="KE1869" s="69"/>
    </row>
    <row r="1886" spans="291:291" x14ac:dyDescent="0.2">
      <c r="KE1886" s="69"/>
    </row>
    <row r="1887" spans="291:291" x14ac:dyDescent="0.2">
      <c r="KE1887" s="69"/>
    </row>
    <row r="1888" spans="291:291" x14ac:dyDescent="0.2">
      <c r="KE1888" s="69"/>
    </row>
    <row r="1889" spans="291:291" x14ac:dyDescent="0.2">
      <c r="KE1889" s="69"/>
    </row>
    <row r="1890" spans="291:291" x14ac:dyDescent="0.2">
      <c r="KE1890" s="69"/>
    </row>
    <row r="1891" spans="291:291" x14ac:dyDescent="0.2">
      <c r="KE1891" s="69"/>
    </row>
    <row r="1923" spans="291:291" x14ac:dyDescent="0.2">
      <c r="KE1923" s="69"/>
    </row>
    <row r="1965" spans="291:291" x14ac:dyDescent="0.2">
      <c r="KE1965" s="69"/>
    </row>
    <row r="1972" spans="291:291" x14ac:dyDescent="0.2">
      <c r="KE1972" s="69"/>
    </row>
    <row r="1985" spans="291:291" x14ac:dyDescent="0.2">
      <c r="KE1985" s="69"/>
    </row>
    <row r="1993" spans="291:291" x14ac:dyDescent="0.2">
      <c r="KE1993" s="69"/>
    </row>
    <row r="2070" spans="291:291" x14ac:dyDescent="0.2">
      <c r="KE2070" s="69"/>
    </row>
    <row r="2082" spans="291:291" x14ac:dyDescent="0.2">
      <c r="KE2082" s="69"/>
    </row>
    <row r="2086" spans="291:291" x14ac:dyDescent="0.2">
      <c r="KE2086" s="69"/>
    </row>
    <row r="2098" spans="291:291" x14ac:dyDescent="0.2">
      <c r="KE2098" s="69"/>
    </row>
    <row r="2112" spans="291:291" x14ac:dyDescent="0.2">
      <c r="KE2112" s="69"/>
    </row>
    <row r="2113" spans="291:291" x14ac:dyDescent="0.2">
      <c r="KE2113" s="69"/>
    </row>
    <row r="2150" spans="291:291" x14ac:dyDescent="0.2">
      <c r="KE2150" s="69"/>
    </row>
    <row r="2151" spans="291:291" x14ac:dyDescent="0.2">
      <c r="KE2151" s="69"/>
    </row>
    <row r="2173" spans="291:291" x14ac:dyDescent="0.2">
      <c r="KE2173" s="69"/>
    </row>
    <row r="2175" spans="291:291" x14ac:dyDescent="0.2">
      <c r="KE2175" s="69"/>
    </row>
    <row r="2196" spans="291:291" x14ac:dyDescent="0.2">
      <c r="KE2196" s="69"/>
    </row>
    <row r="2197" spans="291:291" x14ac:dyDescent="0.2">
      <c r="KE2197" s="69"/>
    </row>
    <row r="2198" spans="291:291" x14ac:dyDescent="0.2">
      <c r="KE2198" s="69"/>
    </row>
    <row r="2200" spans="291:291" x14ac:dyDescent="0.2">
      <c r="KE2200" s="69"/>
    </row>
    <row r="2202" spans="291:291" x14ac:dyDescent="0.2">
      <c r="KE2202" s="69"/>
    </row>
    <row r="2296" spans="291:291" x14ac:dyDescent="0.2">
      <c r="KE2296" s="69"/>
    </row>
    <row r="2313" spans="291:291" x14ac:dyDescent="0.2">
      <c r="KE2313" s="69"/>
    </row>
    <row r="2315" spans="291:291" x14ac:dyDescent="0.2">
      <c r="KE2315" s="69"/>
    </row>
    <row r="2324" spans="291:291" x14ac:dyDescent="0.2">
      <c r="KE2324" s="69"/>
    </row>
    <row r="2333" spans="291:291" x14ac:dyDescent="0.2">
      <c r="KE2333" s="69"/>
    </row>
    <row r="2342" spans="291:291" x14ac:dyDescent="0.2">
      <c r="KE2342" s="69"/>
    </row>
    <row r="2361" spans="291:291" x14ac:dyDescent="0.2">
      <c r="KE2361" s="69"/>
    </row>
    <row r="2382" spans="291:291" x14ac:dyDescent="0.2">
      <c r="KE2382" s="69"/>
    </row>
    <row r="2394" spans="291:291" x14ac:dyDescent="0.2">
      <c r="KE2394" s="69"/>
    </row>
    <row r="2398" spans="291:291" x14ac:dyDescent="0.2">
      <c r="KE2398" s="69"/>
    </row>
    <row r="2406" spans="291:291" x14ac:dyDescent="0.2">
      <c r="KE2406" s="69"/>
    </row>
    <row r="2407" spans="291:291" x14ac:dyDescent="0.2">
      <c r="KE2407" s="69"/>
    </row>
    <row r="2408" spans="291:291" x14ac:dyDescent="0.2">
      <c r="KE2408" s="69"/>
    </row>
    <row r="2409" spans="291:291" x14ac:dyDescent="0.2">
      <c r="KE2409" s="69"/>
    </row>
    <row r="2411" spans="291:291" x14ac:dyDescent="0.2">
      <c r="KE2411" s="69"/>
    </row>
    <row r="2455" spans="291:291" x14ac:dyDescent="0.2">
      <c r="KE2455" s="69"/>
    </row>
    <row r="2463" spans="291:291" x14ac:dyDescent="0.2">
      <c r="KE2463" s="69"/>
    </row>
    <row r="2478" spans="291:291" x14ac:dyDescent="0.2">
      <c r="KE2478" s="69"/>
    </row>
    <row r="2490" spans="291:291" x14ac:dyDescent="0.2">
      <c r="KE2490" s="69"/>
    </row>
    <row r="2494" spans="291:291" x14ac:dyDescent="0.2">
      <c r="KE2494" s="69"/>
    </row>
    <row r="2496" spans="291:291" x14ac:dyDescent="0.2">
      <c r="KE2496" s="69"/>
    </row>
    <row r="2590" spans="291:291" x14ac:dyDescent="0.2">
      <c r="KE2590" s="69"/>
    </row>
    <row r="2594" spans="291:291" x14ac:dyDescent="0.2">
      <c r="KE2594" s="69"/>
    </row>
    <row r="2627" spans="291:291" x14ac:dyDescent="0.2">
      <c r="KE2627" s="69"/>
    </row>
    <row r="2629" spans="291:291" x14ac:dyDescent="0.2">
      <c r="KE2629" s="69"/>
    </row>
    <row r="2630" spans="291:291" x14ac:dyDescent="0.2">
      <c r="KE2630" s="69"/>
    </row>
    <row r="2631" spans="291:291" x14ac:dyDescent="0.2">
      <c r="KE2631" s="69"/>
    </row>
    <row r="2632" spans="291:291" x14ac:dyDescent="0.2">
      <c r="KE2632" s="69"/>
    </row>
    <row r="2633" spans="291:291" x14ac:dyDescent="0.2">
      <c r="KE2633" s="69"/>
    </row>
    <row r="2634" spans="291:291" x14ac:dyDescent="0.2">
      <c r="KE2634" s="69"/>
    </row>
    <row r="2635" spans="291:291" x14ac:dyDescent="0.2">
      <c r="KE2635" s="69"/>
    </row>
    <row r="2636" spans="291:291" x14ac:dyDescent="0.2">
      <c r="KE2636" s="69"/>
    </row>
    <row r="2637" spans="291:291" x14ac:dyDescent="0.2">
      <c r="KE2637" s="69"/>
    </row>
    <row r="2638" spans="291:291" x14ac:dyDescent="0.2">
      <c r="KE2638" s="69"/>
    </row>
    <row r="2639" spans="291:291" x14ac:dyDescent="0.2">
      <c r="KE2639" s="69"/>
    </row>
    <row r="2640" spans="291:291" x14ac:dyDescent="0.2">
      <c r="KE2640" s="69"/>
    </row>
    <row r="2641" spans="291:291" x14ac:dyDescent="0.2">
      <c r="KE2641" s="69"/>
    </row>
    <row r="2642" spans="291:291" x14ac:dyDescent="0.2">
      <c r="KE2642" s="69"/>
    </row>
    <row r="2643" spans="291:291" x14ac:dyDescent="0.2">
      <c r="KE2643" s="69"/>
    </row>
    <row r="2644" spans="291:291" x14ac:dyDescent="0.2">
      <c r="KE2644" s="69"/>
    </row>
    <row r="2646" spans="291:291" x14ac:dyDescent="0.2">
      <c r="KE2646" s="69"/>
    </row>
    <row r="2676" spans="291:291" x14ac:dyDescent="0.2">
      <c r="KE2676" s="69"/>
    </row>
    <row r="2677" spans="291:291" x14ac:dyDescent="0.2">
      <c r="KE2677" s="69"/>
    </row>
    <row r="2683" spans="291:291" x14ac:dyDescent="0.2">
      <c r="KE2683" s="69"/>
    </row>
    <row r="2702" spans="291:291" x14ac:dyDescent="0.2">
      <c r="KE2702" s="69"/>
    </row>
    <row r="2703" spans="291:291" x14ac:dyDescent="0.2">
      <c r="KE2703" s="69"/>
    </row>
    <row r="2704" spans="291:291" x14ac:dyDescent="0.2">
      <c r="KE2704" s="69"/>
    </row>
    <row r="2705" spans="291:291" x14ac:dyDescent="0.2">
      <c r="KE2705" s="69"/>
    </row>
    <row r="2706" spans="291:291" x14ac:dyDescent="0.2">
      <c r="KE2706" s="69"/>
    </row>
    <row r="2707" spans="291:291" x14ac:dyDescent="0.2">
      <c r="KE2707" s="69"/>
    </row>
    <row r="2708" spans="291:291" x14ac:dyDescent="0.2">
      <c r="KE2708" s="69"/>
    </row>
    <row r="2709" spans="291:291" x14ac:dyDescent="0.2">
      <c r="KE2709" s="69"/>
    </row>
    <row r="2710" spans="291:291" x14ac:dyDescent="0.2">
      <c r="KE2710" s="69"/>
    </row>
    <row r="2764" spans="291:291" x14ac:dyDescent="0.2">
      <c r="KE2764" s="69"/>
    </row>
    <row r="2765" spans="291:291" x14ac:dyDescent="0.2">
      <c r="KE2765" s="69"/>
    </row>
    <row r="2766" spans="291:291" x14ac:dyDescent="0.2">
      <c r="KE2766" s="69"/>
    </row>
    <row r="2767" spans="291:291" x14ac:dyDescent="0.2">
      <c r="KE2767" s="69"/>
    </row>
    <row r="2775" spans="291:291" x14ac:dyDescent="0.2">
      <c r="KE2775" s="69"/>
    </row>
    <row r="2784" spans="291:291" x14ac:dyDescent="0.2">
      <c r="KE2784" s="69"/>
    </row>
    <row r="2793" spans="291:291" x14ac:dyDescent="0.2">
      <c r="KE2793" s="69"/>
    </row>
    <row r="2824" spans="291:291" x14ac:dyDescent="0.2">
      <c r="KE2824" s="69"/>
    </row>
    <row r="2862" spans="291:291" x14ac:dyDescent="0.2">
      <c r="KE2862" s="69"/>
    </row>
    <row r="2887" spans="291:291" x14ac:dyDescent="0.2">
      <c r="KE2887" s="69"/>
    </row>
    <row r="2892" spans="291:291" x14ac:dyDescent="0.2">
      <c r="KE2892" s="69"/>
    </row>
    <row r="2893" spans="291:291" x14ac:dyDescent="0.2">
      <c r="KE2893" s="69"/>
    </row>
    <row r="2904" spans="291:291" x14ac:dyDescent="0.2">
      <c r="KE2904" s="69"/>
    </row>
    <row r="2923" spans="291:291" x14ac:dyDescent="0.2">
      <c r="KE2923" s="69"/>
    </row>
    <row r="2926" spans="291:291" x14ac:dyDescent="0.2">
      <c r="KE2926" s="69"/>
    </row>
    <row r="2943" spans="291:291" x14ac:dyDescent="0.2">
      <c r="KE2943" s="69"/>
    </row>
    <row r="3030" spans="291:291" x14ac:dyDescent="0.2">
      <c r="KE3030" s="69"/>
    </row>
    <row r="3061" spans="291:291" x14ac:dyDescent="0.2">
      <c r="KE3061" s="69"/>
    </row>
    <row r="3062" spans="291:291" x14ac:dyDescent="0.2">
      <c r="KE3062" s="69"/>
    </row>
    <row r="3064" spans="291:291" x14ac:dyDescent="0.2">
      <c r="KE3064" s="69"/>
    </row>
    <row r="3066" spans="291:291" x14ac:dyDescent="0.2">
      <c r="KE3066" s="69"/>
    </row>
    <row r="3067" spans="291:291" x14ac:dyDescent="0.2">
      <c r="KE3067" s="69"/>
    </row>
    <row r="3068" spans="291:291" x14ac:dyDescent="0.2">
      <c r="KE3068" s="69"/>
    </row>
    <row r="3071" spans="291:291" x14ac:dyDescent="0.2">
      <c r="KE3071" s="69"/>
    </row>
    <row r="3072" spans="291:291" x14ac:dyDescent="0.2">
      <c r="KE3072" s="69"/>
    </row>
    <row r="3073" spans="291:291" x14ac:dyDescent="0.2">
      <c r="KE3073" s="69"/>
    </row>
    <row r="3074" spans="291:291" x14ac:dyDescent="0.2">
      <c r="KE3074" s="69"/>
    </row>
    <row r="3134" spans="291:291" x14ac:dyDescent="0.2">
      <c r="KE3134" s="69"/>
    </row>
    <row r="3280" spans="291:291" x14ac:dyDescent="0.2">
      <c r="KE3280" s="69"/>
    </row>
    <row r="3284" spans="291:291" x14ac:dyDescent="0.2">
      <c r="KE3284" s="69"/>
    </row>
    <row r="3286" spans="291:291" x14ac:dyDescent="0.2">
      <c r="KE3286" s="69"/>
    </row>
    <row r="3288" spans="291:291" x14ac:dyDescent="0.2">
      <c r="KE3288" s="69"/>
    </row>
    <row r="3290" spans="291:291" x14ac:dyDescent="0.2">
      <c r="KE3290" s="69"/>
    </row>
    <row r="3292" spans="291:291" x14ac:dyDescent="0.2">
      <c r="KE3292" s="69"/>
    </row>
    <row r="3295" spans="291:291" x14ac:dyDescent="0.2">
      <c r="KE3295" s="69"/>
    </row>
    <row r="3298" spans="291:291" x14ac:dyDescent="0.2">
      <c r="KE3298" s="69"/>
    </row>
    <row r="3301" spans="291:291" x14ac:dyDescent="0.2">
      <c r="KE3301" s="69"/>
    </row>
    <row r="3302" spans="291:291" x14ac:dyDescent="0.2">
      <c r="KE3302" s="69"/>
    </row>
    <row r="3304" spans="291:291" x14ac:dyDescent="0.2">
      <c r="KE3304" s="69"/>
    </row>
    <row r="3305" spans="291:291" x14ac:dyDescent="0.2">
      <c r="KE3305" s="69"/>
    </row>
    <row r="3308" spans="291:291" x14ac:dyDescent="0.2">
      <c r="KE3308" s="69"/>
    </row>
    <row r="3311" spans="291:291" x14ac:dyDescent="0.2">
      <c r="KE3311" s="69"/>
    </row>
    <row r="3312" spans="291:291" x14ac:dyDescent="0.2">
      <c r="KE3312" s="69"/>
    </row>
    <row r="3313" spans="291:291" x14ac:dyDescent="0.2">
      <c r="KE3313" s="69"/>
    </row>
    <row r="3314" spans="291:291" x14ac:dyDescent="0.2">
      <c r="KE3314" s="69"/>
    </row>
    <row r="3329" spans="291:291" x14ac:dyDescent="0.2">
      <c r="KE3329" s="69"/>
    </row>
    <row r="3370" spans="291:291" x14ac:dyDescent="0.2">
      <c r="KE3370" s="69"/>
    </row>
    <row r="3383" spans="291:291" x14ac:dyDescent="0.2">
      <c r="KE3383" s="69"/>
    </row>
    <row r="3422" spans="291:291" x14ac:dyDescent="0.2">
      <c r="KE3422" s="69"/>
    </row>
    <row r="3428" spans="291:291" x14ac:dyDescent="0.2">
      <c r="KE3428" s="69"/>
    </row>
    <row r="3444" spans="291:291" x14ac:dyDescent="0.2">
      <c r="KE3444" s="69"/>
    </row>
    <row r="3447" spans="291:291" x14ac:dyDescent="0.2">
      <c r="KE3447" s="69"/>
    </row>
    <row r="3448" spans="291:291" x14ac:dyDescent="0.2">
      <c r="KE3448" s="69"/>
    </row>
    <row r="3450" spans="291:291" x14ac:dyDescent="0.2">
      <c r="KE3450" s="69"/>
    </row>
    <row r="3451" spans="291:291" x14ac:dyDescent="0.2">
      <c r="KE3451" s="69"/>
    </row>
    <row r="3454" spans="291:291" x14ac:dyDescent="0.2">
      <c r="KE3454" s="69"/>
    </row>
    <row r="3459" spans="291:291" x14ac:dyDescent="0.2">
      <c r="KE3459" s="69"/>
    </row>
    <row r="3460" spans="291:291" x14ac:dyDescent="0.2">
      <c r="KE3460" s="69"/>
    </row>
    <row r="3461" spans="291:291" x14ac:dyDescent="0.2">
      <c r="KE3461" s="69"/>
    </row>
    <row r="3462" spans="291:291" x14ac:dyDescent="0.2">
      <c r="KE3462" s="69"/>
    </row>
    <row r="3463" spans="291:291" x14ac:dyDescent="0.2">
      <c r="KE3463" s="69"/>
    </row>
    <row r="3464" spans="291:291" x14ac:dyDescent="0.2">
      <c r="KE3464" s="69"/>
    </row>
    <row r="3465" spans="291:291" x14ac:dyDescent="0.2">
      <c r="KE3465" s="69"/>
    </row>
    <row r="3466" spans="291:291" x14ac:dyDescent="0.2">
      <c r="KE3466" s="69"/>
    </row>
    <row r="3467" spans="291:291" x14ac:dyDescent="0.2">
      <c r="KE3467" s="69"/>
    </row>
    <row r="3468" spans="291:291" x14ac:dyDescent="0.2">
      <c r="KE3468" s="69"/>
    </row>
    <row r="3479" spans="291:291" x14ac:dyDescent="0.2">
      <c r="KE3479" s="69"/>
    </row>
    <row r="3489" spans="291:291" x14ac:dyDescent="0.2">
      <c r="KE3489" s="69"/>
    </row>
    <row r="3490" spans="291:291" x14ac:dyDescent="0.2">
      <c r="KE3490" s="69"/>
    </row>
    <row r="3508" spans="291:291" x14ac:dyDescent="0.2">
      <c r="KE3508" s="69"/>
    </row>
    <row r="3549" spans="291:291" x14ac:dyDescent="0.2">
      <c r="KE3549" s="69"/>
    </row>
    <row r="3561" spans="291:291" x14ac:dyDescent="0.2">
      <c r="KE3561" s="69"/>
    </row>
    <row r="3565" spans="291:291" x14ac:dyDescent="0.2">
      <c r="KE3565" s="69"/>
    </row>
    <row r="3586" spans="291:291" x14ac:dyDescent="0.2">
      <c r="KE3586" s="69"/>
    </row>
    <row r="3589" spans="291:291" x14ac:dyDescent="0.2">
      <c r="KE3589" s="69"/>
    </row>
    <row r="3616" spans="291:291" x14ac:dyDescent="0.2">
      <c r="KE3616" s="69"/>
    </row>
    <row r="3642" spans="291:291" x14ac:dyDescent="0.2">
      <c r="KE3642" s="69"/>
    </row>
    <row r="3649" spans="291:291" x14ac:dyDescent="0.2">
      <c r="KE3649" s="69"/>
    </row>
    <row r="3651" spans="291:291" x14ac:dyDescent="0.2">
      <c r="KE3651" s="69"/>
    </row>
    <row r="3670" spans="291:291" x14ac:dyDescent="0.2">
      <c r="KE3670" s="69"/>
    </row>
    <row r="3710" spans="291:291" x14ac:dyDescent="0.2">
      <c r="KE3710" s="69"/>
    </row>
    <row r="3711" spans="291:291" x14ac:dyDescent="0.2">
      <c r="KE3711" s="69"/>
    </row>
    <row r="3723" spans="291:291" x14ac:dyDescent="0.2">
      <c r="KE3723" s="69"/>
    </row>
    <row r="3741" spans="291:291" x14ac:dyDescent="0.2">
      <c r="KE3741" s="69"/>
    </row>
    <row r="3742" spans="291:291" x14ac:dyDescent="0.2">
      <c r="KE3742" s="69"/>
    </row>
    <row r="3743" spans="291:291" x14ac:dyDescent="0.2">
      <c r="KE3743" s="69"/>
    </row>
    <row r="3749" spans="291:291" x14ac:dyDescent="0.2">
      <c r="KE3749" s="69"/>
    </row>
    <row r="3759" spans="291:291" x14ac:dyDescent="0.2">
      <c r="KE3759" s="69"/>
    </row>
    <row r="3779" spans="291:291" x14ac:dyDescent="0.2">
      <c r="KE3779" s="69"/>
    </row>
    <row r="3851" spans="291:291" x14ac:dyDescent="0.2">
      <c r="KE3851" s="69"/>
    </row>
    <row r="3870" spans="291:291" x14ac:dyDescent="0.2">
      <c r="KE3870" s="69"/>
    </row>
    <row r="3876" spans="291:291" x14ac:dyDescent="0.2">
      <c r="KE3876" s="69"/>
    </row>
    <row r="3878" spans="291:291" x14ac:dyDescent="0.2">
      <c r="KE3878" s="69"/>
    </row>
    <row r="3893" spans="291:291" x14ac:dyDescent="0.2">
      <c r="KE3893" s="69"/>
    </row>
    <row r="3899" spans="291:291" x14ac:dyDescent="0.2">
      <c r="KE3899" s="69"/>
    </row>
    <row r="3900" spans="291:291" x14ac:dyDescent="0.2">
      <c r="KE3900" s="69"/>
    </row>
    <row r="3902" spans="291:291" x14ac:dyDescent="0.2">
      <c r="KE3902" s="69"/>
    </row>
    <row r="3910" spans="291:291" x14ac:dyDescent="0.2">
      <c r="KE3910" s="69"/>
    </row>
    <row r="3912" spans="291:291" x14ac:dyDescent="0.2">
      <c r="KE3912" s="69"/>
    </row>
    <row r="3948" spans="291:291" x14ac:dyDescent="0.2">
      <c r="KE3948" s="69"/>
    </row>
    <row r="3992" spans="291:291" x14ac:dyDescent="0.2">
      <c r="KE3992" s="69"/>
    </row>
    <row r="3995" spans="291:291" x14ac:dyDescent="0.2">
      <c r="KE3995" s="69"/>
    </row>
    <row r="4011" spans="291:291" x14ac:dyDescent="0.2">
      <c r="KE4011" s="69"/>
    </row>
    <row r="4030" spans="291:291" x14ac:dyDescent="0.2">
      <c r="KE4030" s="69"/>
    </row>
    <row r="4033" spans="291:291" x14ac:dyDescent="0.2">
      <c r="KE4033" s="69"/>
    </row>
    <row r="4050" spans="291:291" x14ac:dyDescent="0.2">
      <c r="KE4050" s="69"/>
    </row>
    <row r="4071" spans="291:291" x14ac:dyDescent="0.2">
      <c r="KE4071" s="69"/>
    </row>
    <row r="4103" spans="291:291" x14ac:dyDescent="0.2">
      <c r="KE4103" s="69"/>
    </row>
    <row r="4105" spans="291:291" x14ac:dyDescent="0.2">
      <c r="KE4105" s="69"/>
    </row>
    <row r="4132" spans="291:291" x14ac:dyDescent="0.2">
      <c r="KE4132" s="69"/>
    </row>
    <row r="4228" spans="291:291" x14ac:dyDescent="0.2">
      <c r="KE4228" s="69"/>
    </row>
    <row r="4229" spans="291:291" x14ac:dyDescent="0.2">
      <c r="KE4229" s="69"/>
    </row>
    <row r="4230" spans="291:291" x14ac:dyDescent="0.2">
      <c r="KE4230" s="69"/>
    </row>
    <row r="4240" spans="291:291" x14ac:dyDescent="0.2">
      <c r="KE4240" s="69"/>
    </row>
    <row r="4260" spans="291:291" x14ac:dyDescent="0.2">
      <c r="KE4260" s="69"/>
    </row>
    <row r="4280" spans="291:291" x14ac:dyDescent="0.2">
      <c r="KE4280" s="69"/>
    </row>
    <row r="4307" spans="291:291" x14ac:dyDescent="0.2">
      <c r="KE4307" s="69"/>
    </row>
    <row r="4335" spans="291:291" x14ac:dyDescent="0.2">
      <c r="KE4335" s="69"/>
    </row>
    <row r="4431" spans="291:291" x14ac:dyDescent="0.2">
      <c r="KE4431" s="69"/>
    </row>
    <row r="4432" spans="291:291" x14ac:dyDescent="0.2">
      <c r="KE4432" s="69"/>
    </row>
    <row r="4433" spans="291:291" x14ac:dyDescent="0.2">
      <c r="KE4433" s="69"/>
    </row>
    <row r="4434" spans="291:291" x14ac:dyDescent="0.2">
      <c r="KE4434" s="69"/>
    </row>
    <row r="4437" spans="291:291" x14ac:dyDescent="0.2">
      <c r="KE4437" s="69"/>
    </row>
    <row r="4438" spans="291:291" x14ac:dyDescent="0.2">
      <c r="KE4438" s="69"/>
    </row>
    <row r="4439" spans="291:291" x14ac:dyDescent="0.2">
      <c r="KE4439" s="69"/>
    </row>
    <row r="4440" spans="291:291" x14ac:dyDescent="0.2">
      <c r="KE4440" s="69"/>
    </row>
    <row r="4441" spans="291:291" x14ac:dyDescent="0.2">
      <c r="KE4441" s="69"/>
    </row>
    <row r="4444" spans="291:291" x14ac:dyDescent="0.2">
      <c r="KE4444" s="69"/>
    </row>
    <row r="4445" spans="291:291" x14ac:dyDescent="0.2">
      <c r="KE4445" s="69"/>
    </row>
    <row r="4446" spans="291:291" x14ac:dyDescent="0.2">
      <c r="KE4446" s="69"/>
    </row>
    <row r="4447" spans="291:291" x14ac:dyDescent="0.2">
      <c r="KE4447" s="69"/>
    </row>
    <row r="4448" spans="291:291" x14ac:dyDescent="0.2">
      <c r="KE4448" s="69"/>
    </row>
    <row r="4449" spans="291:291" x14ac:dyDescent="0.2">
      <c r="KE4449" s="69"/>
    </row>
    <row r="4450" spans="291:291" x14ac:dyDescent="0.2">
      <c r="KE4450" s="69"/>
    </row>
    <row r="4453" spans="291:291" x14ac:dyDescent="0.2">
      <c r="KE4453" s="69"/>
    </row>
    <row r="4454" spans="291:291" x14ac:dyDescent="0.2">
      <c r="KE4454" s="69"/>
    </row>
    <row r="4455" spans="291:291" x14ac:dyDescent="0.2">
      <c r="KE4455" s="69"/>
    </row>
    <row r="4456" spans="291:291" x14ac:dyDescent="0.2">
      <c r="KE4456" s="69"/>
    </row>
    <row r="4500" spans="291:291" x14ac:dyDescent="0.2">
      <c r="KE4500" s="69"/>
    </row>
    <row r="4501" spans="291:291" x14ac:dyDescent="0.2">
      <c r="KE4501" s="69"/>
    </row>
    <row r="4503" spans="291:291" x14ac:dyDescent="0.2">
      <c r="KE4503" s="69"/>
    </row>
    <row r="4507" spans="291:291" x14ac:dyDescent="0.2">
      <c r="KE4507" s="69"/>
    </row>
    <row r="4508" spans="291:291" x14ac:dyDescent="0.2">
      <c r="KE4508" s="69"/>
    </row>
    <row r="4510" spans="291:291" x14ac:dyDescent="0.2">
      <c r="KE4510" s="69"/>
    </row>
    <row r="4511" spans="291:291" x14ac:dyDescent="0.2">
      <c r="KE4511" s="69"/>
    </row>
    <row r="4512" spans="291:291" x14ac:dyDescent="0.2">
      <c r="KE4512" s="69"/>
    </row>
    <row r="4513" spans="291:291" x14ac:dyDescent="0.2">
      <c r="KE4513" s="69"/>
    </row>
    <row r="4514" spans="291:291" x14ac:dyDescent="0.2">
      <c r="KE4514" s="69"/>
    </row>
    <row r="4520" spans="291:291" x14ac:dyDescent="0.2">
      <c r="KE4520" s="69"/>
    </row>
    <row r="4553" spans="291:291" x14ac:dyDescent="0.2">
      <c r="KE4553" s="69"/>
    </row>
    <row r="4554" spans="291:291" x14ac:dyDescent="0.2">
      <c r="KE4554" s="69"/>
    </row>
    <row r="4555" spans="291:291" x14ac:dyDescent="0.2">
      <c r="KE4555" s="69"/>
    </row>
    <row r="4558" spans="291:291" x14ac:dyDescent="0.2">
      <c r="KE4558" s="69"/>
    </row>
    <row r="4559" spans="291:291" x14ac:dyDescent="0.2">
      <c r="KE4559" s="69"/>
    </row>
    <row r="4560" spans="291:291" x14ac:dyDescent="0.2">
      <c r="KE4560" s="69"/>
    </row>
    <row r="4561" spans="291:291" x14ac:dyDescent="0.2">
      <c r="KE4561" s="69"/>
    </row>
    <row r="4562" spans="291:291" x14ac:dyDescent="0.2">
      <c r="KE4562" s="69"/>
    </row>
    <row r="4563" spans="291:291" x14ac:dyDescent="0.2">
      <c r="KE4563" s="69"/>
    </row>
    <row r="4564" spans="291:291" x14ac:dyDescent="0.2">
      <c r="KE4564" s="69"/>
    </row>
    <row r="4565" spans="291:291" x14ac:dyDescent="0.2">
      <c r="KE4565" s="69"/>
    </row>
    <row r="4575" spans="291:291" x14ac:dyDescent="0.2">
      <c r="KE4575" s="69"/>
    </row>
    <row r="4621" spans="291:291" x14ac:dyDescent="0.2">
      <c r="KE4621" s="69"/>
    </row>
    <row r="4635" spans="291:291" x14ac:dyDescent="0.2">
      <c r="KE4635" s="69"/>
    </row>
    <row r="4638" spans="291:291" x14ac:dyDescent="0.2">
      <c r="KE4638" s="69"/>
    </row>
    <row r="4645" spans="291:291" x14ac:dyDescent="0.2">
      <c r="KE4645" s="69"/>
    </row>
    <row r="4668" spans="291:291" x14ac:dyDescent="0.2">
      <c r="KE4668" s="69"/>
    </row>
    <row r="4669" spans="291:291" x14ac:dyDescent="0.2">
      <c r="KE4669" s="69"/>
    </row>
    <row r="4701" spans="291:291" x14ac:dyDescent="0.2">
      <c r="KE4701" s="69"/>
    </row>
    <row r="4782" spans="291:291" x14ac:dyDescent="0.2">
      <c r="KE4782" s="69"/>
    </row>
    <row r="4784" spans="291:291" x14ac:dyDescent="0.2">
      <c r="KE4784" s="69"/>
    </row>
    <row r="4788" spans="291:291" x14ac:dyDescent="0.2">
      <c r="KE4788" s="69"/>
    </row>
    <row r="4791" spans="291:291" x14ac:dyDescent="0.2">
      <c r="KE4791" s="69"/>
    </row>
    <row r="4793" spans="291:291" x14ac:dyDescent="0.2">
      <c r="KE4793" s="69"/>
    </row>
    <row r="4795" spans="291:291" x14ac:dyDescent="0.2">
      <c r="KE4795" s="69"/>
    </row>
    <row r="4816" spans="291:291" x14ac:dyDescent="0.2">
      <c r="KE4816" s="69"/>
    </row>
    <row r="4817" spans="291:291" x14ac:dyDescent="0.2">
      <c r="KE4817" s="69"/>
    </row>
    <row r="4825" spans="291:291" x14ac:dyDescent="0.2">
      <c r="KE4825" s="69"/>
    </row>
    <row r="4827" spans="291:291" x14ac:dyDescent="0.2">
      <c r="KE4827" s="69"/>
    </row>
    <row r="4828" spans="291:291" x14ac:dyDescent="0.2">
      <c r="KE4828" s="69"/>
    </row>
    <row r="4829" spans="291:291" x14ac:dyDescent="0.2">
      <c r="KE4829" s="69"/>
    </row>
    <row r="4830" spans="291:291" x14ac:dyDescent="0.2">
      <c r="KE4830" s="69"/>
    </row>
    <row r="4926" spans="291:291" x14ac:dyDescent="0.2">
      <c r="KE4926" s="69"/>
    </row>
    <row r="4928" spans="291:291" x14ac:dyDescent="0.2">
      <c r="KE4928" s="69"/>
    </row>
    <row r="4933" spans="291:291" x14ac:dyDescent="0.2">
      <c r="KE4933" s="69"/>
    </row>
    <row r="4934" spans="291:291" x14ac:dyDescent="0.2">
      <c r="KE4934" s="69"/>
    </row>
    <row r="4935" spans="291:291" x14ac:dyDescent="0.2">
      <c r="KE4935" s="69"/>
    </row>
    <row r="4936" spans="291:291" x14ac:dyDescent="0.2">
      <c r="KE4936" s="69"/>
    </row>
    <row r="4937" spans="291:291" x14ac:dyDescent="0.2">
      <c r="KE4937" s="69"/>
    </row>
    <row r="4938" spans="291:291" x14ac:dyDescent="0.2">
      <c r="KE4938" s="69"/>
    </row>
    <row r="4939" spans="291:291" x14ac:dyDescent="0.2">
      <c r="KE4939" s="69"/>
    </row>
    <row r="4940" spans="291:291" x14ac:dyDescent="0.2">
      <c r="KE4940" s="69"/>
    </row>
    <row r="4941" spans="291:291" x14ac:dyDescent="0.2">
      <c r="KE4941" s="69"/>
    </row>
    <row r="4942" spans="291:291" x14ac:dyDescent="0.2">
      <c r="KE4942" s="69"/>
    </row>
    <row r="4943" spans="291:291" x14ac:dyDescent="0.2">
      <c r="KE4943" s="69"/>
    </row>
    <row r="4944" spans="291:291" x14ac:dyDescent="0.2">
      <c r="KE4944" s="69"/>
    </row>
    <row r="4957" spans="291:291" x14ac:dyDescent="0.2">
      <c r="KE4957" s="69"/>
    </row>
    <row r="4984" spans="291:291" x14ac:dyDescent="0.2">
      <c r="KE4984" s="69"/>
    </row>
    <row r="4993" spans="291:291" x14ac:dyDescent="0.2">
      <c r="KE4993" s="69"/>
    </row>
    <row r="4998" spans="291:291" x14ac:dyDescent="0.2">
      <c r="KE4998" s="69"/>
    </row>
    <row r="4999" spans="291:291" x14ac:dyDescent="0.2">
      <c r="KE4999" s="69"/>
    </row>
    <row r="5011" spans="291:291" x14ac:dyDescent="0.2">
      <c r="KE5011" s="69"/>
    </row>
    <row r="5017" spans="291:291" x14ac:dyDescent="0.2">
      <c r="KE5017" s="69"/>
    </row>
    <row r="5032" spans="291:291" x14ac:dyDescent="0.2">
      <c r="KE5032" s="69"/>
    </row>
    <row r="5089" spans="291:291" x14ac:dyDescent="0.2">
      <c r="KE5089" s="69"/>
    </row>
    <row r="5090" spans="291:291" x14ac:dyDescent="0.2">
      <c r="KE5090" s="69"/>
    </row>
    <row r="5091" spans="291:291" x14ac:dyDescent="0.2">
      <c r="KE5091" s="69"/>
    </row>
    <row r="5092" spans="291:291" x14ac:dyDescent="0.2">
      <c r="KE5092" s="69"/>
    </row>
    <row r="5106" spans="291:291" x14ac:dyDescent="0.2">
      <c r="KE5106" s="69"/>
    </row>
    <row r="5137" spans="291:291" x14ac:dyDescent="0.2">
      <c r="KE5137" s="69"/>
    </row>
    <row r="5151" spans="291:291" x14ac:dyDescent="0.2">
      <c r="KE5151" s="69"/>
    </row>
    <row r="5169" spans="291:291" x14ac:dyDescent="0.2">
      <c r="KE5169" s="69"/>
    </row>
    <row r="5171" spans="291:291" x14ac:dyDescent="0.2">
      <c r="KE5171" s="69"/>
    </row>
    <row r="5172" spans="291:291" x14ac:dyDescent="0.2">
      <c r="KE5172" s="69"/>
    </row>
    <row r="5173" spans="291:291" x14ac:dyDescent="0.2">
      <c r="KE5173" s="69"/>
    </row>
    <row r="5174" spans="291:291" x14ac:dyDescent="0.2">
      <c r="KE5174" s="69"/>
    </row>
    <row r="5175" spans="291:291" x14ac:dyDescent="0.2">
      <c r="KE5175" s="69"/>
    </row>
    <row r="5194" spans="291:291" x14ac:dyDescent="0.2">
      <c r="KE5194" s="69"/>
    </row>
    <row r="5195" spans="291:291" x14ac:dyDescent="0.2">
      <c r="KE5195" s="69"/>
    </row>
    <row r="5196" spans="291:291" x14ac:dyDescent="0.2">
      <c r="KE5196" s="69"/>
    </row>
    <row r="5199" spans="291:291" x14ac:dyDescent="0.2">
      <c r="KE5199" s="69"/>
    </row>
    <row r="5200" spans="291:291" x14ac:dyDescent="0.2">
      <c r="KE5200" s="69"/>
    </row>
    <row r="5201" spans="291:291" x14ac:dyDescent="0.2">
      <c r="KE5201" s="69"/>
    </row>
    <row r="5202" spans="291:291" x14ac:dyDescent="0.2">
      <c r="KE5202" s="69"/>
    </row>
    <row r="5203" spans="291:291" x14ac:dyDescent="0.2">
      <c r="KE5203" s="69"/>
    </row>
    <row r="5204" spans="291:291" x14ac:dyDescent="0.2">
      <c r="KE5204" s="69"/>
    </row>
    <row r="5205" spans="291:291" x14ac:dyDescent="0.2">
      <c r="KE5205" s="69"/>
    </row>
    <row r="5206" spans="291:291" x14ac:dyDescent="0.2">
      <c r="KE5206" s="69"/>
    </row>
    <row r="5219" spans="291:291" x14ac:dyDescent="0.2">
      <c r="KE5219" s="69"/>
    </row>
    <row r="5255" spans="291:291" x14ac:dyDescent="0.2">
      <c r="KE5255" s="69"/>
    </row>
    <row r="5270" spans="291:291" x14ac:dyDescent="0.2">
      <c r="KE5270" s="69"/>
    </row>
    <row r="5278" spans="291:291" x14ac:dyDescent="0.2">
      <c r="KE5278" s="69"/>
    </row>
    <row r="5283" spans="291:291" x14ac:dyDescent="0.2">
      <c r="KE5283" s="69"/>
    </row>
    <row r="5288" spans="291:291" x14ac:dyDescent="0.2">
      <c r="KE5288" s="69"/>
    </row>
    <row r="5314" spans="291:291" x14ac:dyDescent="0.2">
      <c r="KE5314" s="69"/>
    </row>
    <row r="5423" spans="291:291" x14ac:dyDescent="0.2">
      <c r="KE5423" s="69"/>
    </row>
    <row r="5429" spans="291:291" x14ac:dyDescent="0.2">
      <c r="KE5429" s="69"/>
    </row>
    <row r="5446" spans="291:291" x14ac:dyDescent="0.2">
      <c r="KE5446" s="69"/>
    </row>
    <row r="5528" spans="291:291" x14ac:dyDescent="0.2">
      <c r="KE5528" s="69"/>
    </row>
    <row r="5569" spans="291:291" x14ac:dyDescent="0.2">
      <c r="KE5569" s="69"/>
    </row>
    <row r="5571" spans="291:291" x14ac:dyDescent="0.2">
      <c r="KE5571" s="69"/>
    </row>
    <row r="5580" spans="291:291" x14ac:dyDescent="0.2">
      <c r="KE5580" s="69"/>
    </row>
    <row r="5583" spans="291:291" x14ac:dyDescent="0.2">
      <c r="KE5583" s="69"/>
    </row>
    <row r="5584" spans="291:291" x14ac:dyDescent="0.2">
      <c r="KE5584" s="69"/>
    </row>
    <row r="5585" spans="291:291" x14ac:dyDescent="0.2">
      <c r="KE5585" s="69"/>
    </row>
    <row r="5615" spans="291:291" x14ac:dyDescent="0.2">
      <c r="KE5615" s="69"/>
    </row>
    <row r="5617" spans="291:291" x14ac:dyDescent="0.2">
      <c r="KE5617" s="69"/>
    </row>
    <row r="5656" spans="291:291" x14ac:dyDescent="0.2">
      <c r="KE5656" s="69"/>
    </row>
    <row r="5658" spans="291:291" x14ac:dyDescent="0.2">
      <c r="KE5658" s="69"/>
    </row>
    <row r="5660" spans="291:291" x14ac:dyDescent="0.2">
      <c r="KE5660" s="69"/>
    </row>
    <row r="5680" spans="291:291" x14ac:dyDescent="0.2">
      <c r="KE5680" s="69"/>
    </row>
    <row r="5688" spans="291:291" x14ac:dyDescent="0.2">
      <c r="KE5688" s="69"/>
    </row>
    <row r="5709" spans="291:291" x14ac:dyDescent="0.2">
      <c r="KE5709" s="69"/>
    </row>
    <row r="5732" spans="291:291" x14ac:dyDescent="0.2">
      <c r="KE5732" s="69"/>
    </row>
    <row r="5767" spans="291:291" x14ac:dyDescent="0.2">
      <c r="KE5767" s="69"/>
    </row>
    <row r="5774" spans="291:291" x14ac:dyDescent="0.2">
      <c r="KE5774" s="69"/>
    </row>
    <row r="5779" spans="291:291" x14ac:dyDescent="0.2">
      <c r="KE5779" s="69"/>
    </row>
    <row r="5780" spans="291:291" x14ac:dyDescent="0.2">
      <c r="KE5780" s="69"/>
    </row>
    <row r="5811" spans="291:291" x14ac:dyDescent="0.2">
      <c r="KE5811" s="69"/>
    </row>
    <row r="5813" spans="291:291" x14ac:dyDescent="0.2">
      <c r="KE5813" s="69"/>
    </row>
    <row r="5844" spans="291:291" x14ac:dyDescent="0.2">
      <c r="KE5844" s="69"/>
    </row>
    <row r="5850" spans="291:291" x14ac:dyDescent="0.2">
      <c r="KE5850" s="69"/>
    </row>
    <row r="5854" spans="291:291" x14ac:dyDescent="0.2">
      <c r="KE5854" s="69"/>
    </row>
    <row r="5860" spans="291:291" x14ac:dyDescent="0.2">
      <c r="KE5860" s="69"/>
    </row>
    <row r="5881" spans="291:291" x14ac:dyDescent="0.2">
      <c r="KE5881" s="69"/>
    </row>
    <row r="5883" spans="291:291" x14ac:dyDescent="0.2">
      <c r="KE5883" s="69"/>
    </row>
    <row r="5960" spans="291:291" x14ac:dyDescent="0.2">
      <c r="KE5960" s="69"/>
    </row>
    <row r="5984" spans="291:291" x14ac:dyDescent="0.2">
      <c r="KE5984" s="69"/>
    </row>
    <row r="5990" spans="291:291" x14ac:dyDescent="0.2">
      <c r="KE5990" s="69"/>
    </row>
    <row r="5991" spans="291:291" x14ac:dyDescent="0.2">
      <c r="KE5991" s="69"/>
    </row>
    <row r="5992" spans="291:291" x14ac:dyDescent="0.2">
      <c r="KE5992" s="69"/>
    </row>
    <row r="5993" spans="291:291" x14ac:dyDescent="0.2">
      <c r="KE5993" s="69"/>
    </row>
    <row r="5994" spans="291:291" x14ac:dyDescent="0.2">
      <c r="KE5994" s="69"/>
    </row>
    <row r="6045" spans="291:291" x14ac:dyDescent="0.2">
      <c r="KE6045" s="69"/>
    </row>
    <row r="6053" spans="291:291" x14ac:dyDescent="0.2">
      <c r="KE6053" s="69"/>
    </row>
    <row r="6061" spans="291:291" x14ac:dyDescent="0.2">
      <c r="KE6061" s="69"/>
    </row>
    <row r="6065" spans="291:291" x14ac:dyDescent="0.2">
      <c r="KE6065" s="69"/>
    </row>
    <row r="6115" spans="291:291" x14ac:dyDescent="0.2">
      <c r="KE6115" s="69"/>
    </row>
    <row r="6159" spans="291:291" x14ac:dyDescent="0.2">
      <c r="KE6159" s="69"/>
    </row>
    <row r="6173" spans="291:291" x14ac:dyDescent="0.2">
      <c r="KE6173" s="69"/>
    </row>
    <row r="6175" spans="291:291" x14ac:dyDescent="0.2">
      <c r="KE6175" s="69"/>
    </row>
    <row r="6193" spans="291:291" x14ac:dyDescent="0.2">
      <c r="KE6193" s="69"/>
    </row>
    <row r="6204" spans="291:291" x14ac:dyDescent="0.2">
      <c r="KE6204" s="69"/>
    </row>
    <row r="6256" spans="291:291" x14ac:dyDescent="0.2">
      <c r="KE6256" s="69"/>
    </row>
    <row r="6267" spans="291:291" x14ac:dyDescent="0.2">
      <c r="KE6267" s="69"/>
    </row>
    <row r="6282" spans="291:291" x14ac:dyDescent="0.2">
      <c r="KE6282" s="69"/>
    </row>
    <row r="6311" spans="291:291" x14ac:dyDescent="0.2">
      <c r="KE6311" s="69"/>
    </row>
    <row r="6351" spans="291:291" x14ac:dyDescent="0.2">
      <c r="KE6351" s="69"/>
    </row>
    <row r="6357" spans="291:291" x14ac:dyDescent="0.2">
      <c r="KE6357" s="69"/>
    </row>
    <row r="6368" spans="291:291" x14ac:dyDescent="0.2">
      <c r="KE6368" s="69"/>
    </row>
    <row r="6392" spans="291:291" x14ac:dyDescent="0.2">
      <c r="KE6392" s="69"/>
    </row>
    <row r="6400" spans="291:291" x14ac:dyDescent="0.2">
      <c r="KE6400" s="69"/>
    </row>
    <row r="6410" spans="291:291" x14ac:dyDescent="0.2">
      <c r="KE6410" s="69"/>
    </row>
    <row r="6411" spans="291:291" x14ac:dyDescent="0.2">
      <c r="KE6411" s="69"/>
    </row>
    <row r="6417" spans="291:291" x14ac:dyDescent="0.2">
      <c r="KE6417" s="69"/>
    </row>
    <row r="6418" spans="291:291" x14ac:dyDescent="0.2">
      <c r="KE6418" s="69"/>
    </row>
    <row r="6420" spans="291:291" x14ac:dyDescent="0.2">
      <c r="KE6420" s="69"/>
    </row>
    <row r="6429" spans="291:291" x14ac:dyDescent="0.2">
      <c r="KE6429" s="69"/>
    </row>
    <row r="6572" spans="291:291" x14ac:dyDescent="0.2">
      <c r="KE6572" s="69"/>
    </row>
    <row r="6603" spans="291:291" x14ac:dyDescent="0.2">
      <c r="KE6603" s="69"/>
    </row>
    <row r="6608" spans="291:291" x14ac:dyDescent="0.2">
      <c r="KE6608" s="69"/>
    </row>
    <row r="6627" spans="291:291" x14ac:dyDescent="0.2">
      <c r="KE6627" s="69"/>
    </row>
    <row r="6630" spans="291:291" x14ac:dyDescent="0.2">
      <c r="KE6630" s="69"/>
    </row>
    <row r="6635" spans="291:291" x14ac:dyDescent="0.2">
      <c r="KE6635" s="69"/>
    </row>
    <row r="6648" spans="291:291" x14ac:dyDescent="0.2">
      <c r="KE6648" s="69"/>
    </row>
    <row r="6674" spans="291:291" x14ac:dyDescent="0.2">
      <c r="KE6674" s="69"/>
    </row>
    <row r="6675" spans="291:291" x14ac:dyDescent="0.2">
      <c r="KE6675" s="69"/>
    </row>
    <row r="6676" spans="291:291" x14ac:dyDescent="0.2">
      <c r="KE6676" s="69"/>
    </row>
    <row r="6677" spans="291:291" x14ac:dyDescent="0.2">
      <c r="KE6677" s="69"/>
    </row>
    <row r="6686" spans="291:291" x14ac:dyDescent="0.2">
      <c r="KE6686" s="69"/>
    </row>
    <row r="6708" spans="291:291" x14ac:dyDescent="0.2">
      <c r="KE6708" s="69"/>
    </row>
    <row r="6735" spans="291:291" x14ac:dyDescent="0.2">
      <c r="KE6735" s="69"/>
    </row>
    <row r="6748" spans="291:291" x14ac:dyDescent="0.2">
      <c r="KE6748" s="69"/>
    </row>
    <row r="6767" spans="291:291" x14ac:dyDescent="0.2">
      <c r="KE6767" s="69"/>
    </row>
    <row r="6772" spans="291:291" x14ac:dyDescent="0.2">
      <c r="KE6772" s="69"/>
    </row>
    <row r="6777" spans="291:291" x14ac:dyDescent="0.2">
      <c r="KE6777" s="69"/>
    </row>
    <row r="6778" spans="291:291" x14ac:dyDescent="0.2">
      <c r="KE6778" s="69"/>
    </row>
    <row r="6781" spans="291:291" x14ac:dyDescent="0.2">
      <c r="KE6781" s="69"/>
    </row>
    <row r="6790" spans="291:291" x14ac:dyDescent="0.2">
      <c r="KE6790" s="69"/>
    </row>
    <row r="6791" spans="291:291" x14ac:dyDescent="0.2">
      <c r="KE6791" s="69"/>
    </row>
    <row r="6797" spans="291:291" x14ac:dyDescent="0.2">
      <c r="KE6797" s="69"/>
    </row>
    <row r="6798" spans="291:291" x14ac:dyDescent="0.2">
      <c r="KE6798" s="69"/>
    </row>
    <row r="6799" spans="291:291" x14ac:dyDescent="0.2">
      <c r="KE6799" s="69"/>
    </row>
    <row r="6801" spans="291:291" x14ac:dyDescent="0.2">
      <c r="KE6801" s="69"/>
    </row>
    <row r="6802" spans="291:291" x14ac:dyDescent="0.2">
      <c r="KE6802" s="69"/>
    </row>
    <row r="6805" spans="291:291" x14ac:dyDescent="0.2">
      <c r="KE6805" s="69"/>
    </row>
    <row r="6810" spans="291:291" x14ac:dyDescent="0.2">
      <c r="KE6810" s="69"/>
    </row>
    <row r="6811" spans="291:291" x14ac:dyDescent="0.2">
      <c r="KE6811" s="69"/>
    </row>
    <row r="6818" spans="291:291" x14ac:dyDescent="0.2">
      <c r="KE6818" s="69"/>
    </row>
    <row r="6855" spans="291:291" x14ac:dyDescent="0.2">
      <c r="KE6855" s="69"/>
    </row>
    <row r="6869" spans="291:291" x14ac:dyDescent="0.2">
      <c r="KE6869" s="69"/>
    </row>
    <row r="6896" spans="291:291" x14ac:dyDescent="0.2">
      <c r="KE6896" s="69"/>
    </row>
    <row r="6904" spans="291:291" x14ac:dyDescent="0.2">
      <c r="KE6904" s="69"/>
    </row>
    <row r="6912" spans="291:291" x14ac:dyDescent="0.2">
      <c r="KE6912" s="69"/>
    </row>
    <row r="6932" spans="291:291" x14ac:dyDescent="0.2">
      <c r="KE6932" s="69"/>
    </row>
    <row r="6938" spans="291:291" x14ac:dyDescent="0.2">
      <c r="KE6938" s="69"/>
    </row>
    <row r="6974" spans="291:291" x14ac:dyDescent="0.2">
      <c r="KE6974" s="69"/>
    </row>
    <row r="6992" spans="291:291" x14ac:dyDescent="0.2">
      <c r="KE6992" s="69"/>
    </row>
    <row r="6993" spans="291:291" x14ac:dyDescent="0.2">
      <c r="KE6993" s="69"/>
    </row>
    <row r="6995" spans="291:291" x14ac:dyDescent="0.2">
      <c r="KE6995" s="69"/>
    </row>
    <row r="6996" spans="291:291" x14ac:dyDescent="0.2">
      <c r="KE6996" s="69"/>
    </row>
    <row r="6997" spans="291:291" x14ac:dyDescent="0.2">
      <c r="KE6997" s="69"/>
    </row>
    <row r="6998" spans="291:291" x14ac:dyDescent="0.2">
      <c r="KE6998" s="69"/>
    </row>
    <row r="7000" spans="291:291" x14ac:dyDescent="0.2">
      <c r="KE7000" s="69"/>
    </row>
    <row r="7027" spans="291:291" x14ac:dyDescent="0.2">
      <c r="KE7027" s="69"/>
    </row>
    <row r="7031" spans="291:291" x14ac:dyDescent="0.2">
      <c r="KE7031" s="69"/>
    </row>
    <row r="7043" spans="291:291" x14ac:dyDescent="0.2">
      <c r="KE7043" s="69"/>
    </row>
    <row r="7056" spans="291:291" x14ac:dyDescent="0.2">
      <c r="KE7056" s="69"/>
    </row>
    <row r="7079" spans="291:291" x14ac:dyDescent="0.2">
      <c r="KE7079" s="69"/>
    </row>
    <row r="7099" spans="291:291" x14ac:dyDescent="0.2">
      <c r="KE7099" s="69"/>
    </row>
    <row r="7113" spans="291:291" x14ac:dyDescent="0.2">
      <c r="KE7113" s="69"/>
    </row>
    <row r="7115" spans="291:291" x14ac:dyDescent="0.2">
      <c r="KE7115" s="69"/>
    </row>
    <row r="7137" spans="291:291" x14ac:dyDescent="0.2">
      <c r="KE7137" s="69"/>
    </row>
    <row r="7177" spans="291:291" x14ac:dyDescent="0.2">
      <c r="KE7177" s="69"/>
    </row>
    <row r="7179" spans="291:291" x14ac:dyDescent="0.2">
      <c r="KE7179" s="69"/>
    </row>
    <row r="7181" spans="291:291" x14ac:dyDescent="0.2">
      <c r="KE7181" s="69"/>
    </row>
    <row r="7185" spans="291:291" x14ac:dyDescent="0.2">
      <c r="KE7185" s="69"/>
    </row>
    <row r="7211" spans="291:291" x14ac:dyDescent="0.2">
      <c r="KE7211" s="69"/>
    </row>
    <row r="7227" spans="291:291" x14ac:dyDescent="0.2">
      <c r="KE7227" s="69"/>
    </row>
    <row r="7229" spans="291:291" x14ac:dyDescent="0.2">
      <c r="KE7229" s="69"/>
    </row>
    <row r="7250" spans="291:291" x14ac:dyDescent="0.2">
      <c r="KE7250" s="69"/>
    </row>
    <row r="7302" spans="291:291" x14ac:dyDescent="0.2">
      <c r="KE7302" s="69"/>
    </row>
    <row r="7321" spans="291:291" x14ac:dyDescent="0.2">
      <c r="KE7321" s="69"/>
    </row>
    <row r="7378" spans="291:291" x14ac:dyDescent="0.2">
      <c r="KE7378" s="69"/>
    </row>
    <row r="7412" spans="291:291" x14ac:dyDescent="0.2">
      <c r="KE7412" s="69"/>
    </row>
    <row r="7462" spans="291:291" x14ac:dyDescent="0.2">
      <c r="KE7462" s="69"/>
    </row>
    <row r="7463" spans="291:291" x14ac:dyDescent="0.2">
      <c r="KE7463" s="69"/>
    </row>
    <row r="7465" spans="291:291" x14ac:dyDescent="0.2">
      <c r="KE7465" s="69"/>
    </row>
    <row r="7493" spans="291:291" x14ac:dyDescent="0.2">
      <c r="KE7493" s="69"/>
    </row>
    <row r="7501" spans="291:291" x14ac:dyDescent="0.2">
      <c r="KE7501" s="69"/>
    </row>
    <row r="7509" spans="291:291" x14ac:dyDescent="0.2">
      <c r="KE7509" s="69"/>
    </row>
    <row r="7517" spans="291:291" x14ac:dyDescent="0.2">
      <c r="KE7517" s="69"/>
    </row>
    <row r="7519" spans="291:291" x14ac:dyDescent="0.2">
      <c r="KE7519" s="69"/>
    </row>
    <row r="7521" spans="291:291" x14ac:dyDescent="0.2">
      <c r="KE7521" s="69"/>
    </row>
    <row r="7527" spans="291:291" x14ac:dyDescent="0.2">
      <c r="KE7527" s="69"/>
    </row>
    <row r="7529" spans="291:291" x14ac:dyDescent="0.2">
      <c r="KE7529" s="69"/>
    </row>
    <row r="7531" spans="291:291" x14ac:dyDescent="0.2">
      <c r="KE7531" s="69"/>
    </row>
    <row r="7533" spans="291:291" x14ac:dyDescent="0.2">
      <c r="KE7533" s="69"/>
    </row>
    <row r="7534" spans="291:291" x14ac:dyDescent="0.2">
      <c r="KE7534" s="69"/>
    </row>
    <row r="7535" spans="291:291" x14ac:dyDescent="0.2">
      <c r="KE7535" s="69"/>
    </row>
    <row r="7536" spans="291:291" x14ac:dyDescent="0.2">
      <c r="KE7536" s="69"/>
    </row>
    <row r="7537" spans="291:291" x14ac:dyDescent="0.2">
      <c r="KE7537" s="69"/>
    </row>
    <row r="7538" spans="291:291" x14ac:dyDescent="0.2">
      <c r="KE7538" s="69"/>
    </row>
    <row r="7539" spans="291:291" x14ac:dyDescent="0.2">
      <c r="KE7539" s="69"/>
    </row>
    <row r="7540" spans="291:291" x14ac:dyDescent="0.2">
      <c r="KE7540" s="69"/>
    </row>
    <row r="7541" spans="291:291" x14ac:dyDescent="0.2">
      <c r="KE7541" s="69"/>
    </row>
    <row r="7542" spans="291:291" x14ac:dyDescent="0.2">
      <c r="KE7542" s="69"/>
    </row>
    <row r="7543" spans="291:291" x14ac:dyDescent="0.2">
      <c r="KE7543" s="69"/>
    </row>
    <row r="7544" spans="291:291" x14ac:dyDescent="0.2">
      <c r="KE7544" s="69"/>
    </row>
    <row r="7545" spans="291:291" x14ac:dyDescent="0.2">
      <c r="KE7545" s="69"/>
    </row>
    <row r="7546" spans="291:291" x14ac:dyDescent="0.2">
      <c r="KE7546" s="69"/>
    </row>
    <row r="7547" spans="291:291" x14ac:dyDescent="0.2">
      <c r="KE7547" s="69"/>
    </row>
    <row r="7548" spans="291:291" x14ac:dyDescent="0.2">
      <c r="KE7548" s="69"/>
    </row>
    <row r="7549" spans="291:291" x14ac:dyDescent="0.2">
      <c r="KE7549" s="69"/>
    </row>
    <row r="7550" spans="291:291" x14ac:dyDescent="0.2">
      <c r="KE7550" s="69"/>
    </row>
    <row r="7551" spans="291:291" x14ac:dyDescent="0.2">
      <c r="KE7551" s="69"/>
    </row>
    <row r="7552" spans="291:291" x14ac:dyDescent="0.2">
      <c r="KE7552" s="69"/>
    </row>
    <row r="7553" spans="291:291" x14ac:dyDescent="0.2">
      <c r="KE7553" s="69"/>
    </row>
    <row r="7554" spans="291:291" x14ac:dyDescent="0.2">
      <c r="KE7554" s="69"/>
    </row>
    <row r="7555" spans="291:291" x14ac:dyDescent="0.2">
      <c r="KE7555" s="69"/>
    </row>
    <row r="7556" spans="291:291" x14ac:dyDescent="0.2">
      <c r="KE7556" s="69"/>
    </row>
    <row r="7557" spans="291:291" x14ac:dyDescent="0.2">
      <c r="KE7557" s="69"/>
    </row>
    <row r="7558" spans="291:291" x14ac:dyDescent="0.2">
      <c r="KE7558" s="69"/>
    </row>
    <row r="7559" spans="291:291" x14ac:dyDescent="0.2">
      <c r="KE7559" s="69"/>
    </row>
    <row r="7560" spans="291:291" x14ac:dyDescent="0.2">
      <c r="KE7560" s="69"/>
    </row>
    <row r="7561" spans="291:291" x14ac:dyDescent="0.2">
      <c r="KE7561" s="69"/>
    </row>
    <row r="7562" spans="291:291" x14ac:dyDescent="0.2">
      <c r="KE7562" s="69"/>
    </row>
    <row r="7564" spans="291:291" x14ac:dyDescent="0.2">
      <c r="KE7564" s="69"/>
    </row>
    <row r="7565" spans="291:291" x14ac:dyDescent="0.2">
      <c r="KE7565" s="69"/>
    </row>
    <row r="7566" spans="291:291" x14ac:dyDescent="0.2">
      <c r="KE7566" s="69"/>
    </row>
    <row r="7567" spans="291:291" x14ac:dyDescent="0.2">
      <c r="KE7567" s="69"/>
    </row>
    <row r="7568" spans="291:291" x14ac:dyDescent="0.2">
      <c r="KE7568" s="69"/>
    </row>
    <row r="7569" spans="291:291" x14ac:dyDescent="0.2">
      <c r="KE7569" s="69"/>
    </row>
    <row r="7570" spans="291:291" x14ac:dyDescent="0.2">
      <c r="KE7570" s="69"/>
    </row>
    <row r="7571" spans="291:291" x14ac:dyDescent="0.2">
      <c r="KE7571" s="69"/>
    </row>
    <row r="7572" spans="291:291" x14ac:dyDescent="0.2">
      <c r="KE7572" s="69"/>
    </row>
    <row r="7573" spans="291:291" x14ac:dyDescent="0.2">
      <c r="KE7573" s="69"/>
    </row>
    <row r="7574" spans="291:291" x14ac:dyDescent="0.2">
      <c r="KE7574" s="69"/>
    </row>
    <row r="7575" spans="291:291" x14ac:dyDescent="0.2">
      <c r="KE7575" s="69"/>
    </row>
    <row r="7576" spans="291:291" x14ac:dyDescent="0.2">
      <c r="KE7576" s="69"/>
    </row>
    <row r="7577" spans="291:291" x14ac:dyDescent="0.2">
      <c r="KE7577" s="69"/>
    </row>
    <row r="7578" spans="291:291" x14ac:dyDescent="0.2">
      <c r="KE7578" s="69"/>
    </row>
    <row r="7579" spans="291:291" x14ac:dyDescent="0.2">
      <c r="KE7579" s="69"/>
    </row>
    <row r="7580" spans="291:291" x14ac:dyDescent="0.2">
      <c r="KE7580" s="69"/>
    </row>
    <row r="7581" spans="291:291" x14ac:dyDescent="0.2">
      <c r="KE7581" s="69"/>
    </row>
    <row r="7582" spans="291:291" x14ac:dyDescent="0.2">
      <c r="KE7582" s="69"/>
    </row>
    <row r="7583" spans="291:291" x14ac:dyDescent="0.2">
      <c r="KE7583" s="69"/>
    </row>
    <row r="7592" spans="291:291" x14ac:dyDescent="0.2">
      <c r="KE7592" s="69"/>
    </row>
    <row r="7621" spans="291:291" x14ac:dyDescent="0.2">
      <c r="KE7621" s="69"/>
    </row>
    <row r="7645" spans="291:291" x14ac:dyDescent="0.2">
      <c r="KE7645" s="69"/>
    </row>
    <row r="7649" spans="291:291" x14ac:dyDescent="0.2">
      <c r="KE7649" s="69"/>
    </row>
    <row r="7656" spans="291:291" x14ac:dyDescent="0.2">
      <c r="KE7656" s="69"/>
    </row>
    <row r="7658" spans="291:291" x14ac:dyDescent="0.2">
      <c r="KE7658" s="69"/>
    </row>
    <row r="7692" spans="291:291" x14ac:dyDescent="0.2">
      <c r="KE7692" s="69"/>
    </row>
    <row r="7703" spans="291:291" x14ac:dyDescent="0.2">
      <c r="KE7703" s="69"/>
    </row>
    <row r="7732" spans="291:291" x14ac:dyDescent="0.2">
      <c r="KE7732" s="69"/>
    </row>
    <row r="7771" spans="291:291" x14ac:dyDescent="0.2">
      <c r="KE7771" s="69"/>
    </row>
    <row r="7806" spans="291:291" x14ac:dyDescent="0.2">
      <c r="KE7806" s="69"/>
    </row>
    <row r="7807" spans="291:291" x14ac:dyDescent="0.2">
      <c r="KE7807" s="69"/>
    </row>
    <row r="7812" spans="291:291" x14ac:dyDescent="0.2">
      <c r="KE7812" s="69"/>
    </row>
    <row r="7813" spans="291:291" x14ac:dyDescent="0.2">
      <c r="KE7813" s="69"/>
    </row>
    <row r="7817" spans="291:291" x14ac:dyDescent="0.2">
      <c r="KE7817" s="69"/>
    </row>
    <row r="7820" spans="291:291" x14ac:dyDescent="0.2">
      <c r="KE7820" s="69"/>
    </row>
    <row r="7821" spans="291:291" x14ac:dyDescent="0.2">
      <c r="KE7821" s="69"/>
    </row>
    <row r="7824" spans="291:291" x14ac:dyDescent="0.2">
      <c r="KE7824" s="69"/>
    </row>
    <row r="7827" spans="291:291" x14ac:dyDescent="0.2">
      <c r="KE7827" s="69"/>
    </row>
    <row r="7830" spans="291:291" x14ac:dyDescent="0.2">
      <c r="KE7830" s="69"/>
    </row>
    <row r="7835" spans="291:291" x14ac:dyDescent="0.2">
      <c r="KE7835" s="69"/>
    </row>
    <row r="7836" spans="291:291" x14ac:dyDescent="0.2">
      <c r="KE7836" s="69"/>
    </row>
    <row r="7837" spans="291:291" x14ac:dyDescent="0.2">
      <c r="KE7837" s="69"/>
    </row>
    <row r="7840" spans="291:291" x14ac:dyDescent="0.2">
      <c r="KE7840" s="69"/>
    </row>
    <row r="7845" spans="291:291" x14ac:dyDescent="0.2">
      <c r="KE7845" s="69"/>
    </row>
    <row r="7848" spans="291:291" x14ac:dyDescent="0.2">
      <c r="KE7848" s="69"/>
    </row>
    <row r="7849" spans="291:291" x14ac:dyDescent="0.2">
      <c r="KE7849" s="69"/>
    </row>
    <row r="7852" spans="291:291" x14ac:dyDescent="0.2">
      <c r="KE7852" s="69"/>
    </row>
    <row r="7857" spans="291:291" x14ac:dyDescent="0.2">
      <c r="KE7857" s="69"/>
    </row>
    <row r="7858" spans="291:291" x14ac:dyDescent="0.2">
      <c r="KE7858" s="69"/>
    </row>
    <row r="7861" spans="291:291" x14ac:dyDescent="0.2">
      <c r="KE7861" s="69"/>
    </row>
    <row r="7862" spans="291:291" x14ac:dyDescent="0.2">
      <c r="KE7862" s="69"/>
    </row>
    <row r="7863" spans="291:291" x14ac:dyDescent="0.2">
      <c r="KE7863" s="69"/>
    </row>
    <row r="7865" spans="291:291" x14ac:dyDescent="0.2">
      <c r="KE7865" s="69"/>
    </row>
    <row r="7866" spans="291:291" x14ac:dyDescent="0.2">
      <c r="KE7866" s="69"/>
    </row>
    <row r="7867" spans="291:291" x14ac:dyDescent="0.2">
      <c r="KE7867" s="69"/>
    </row>
    <row r="7869" spans="291:291" x14ac:dyDescent="0.2">
      <c r="KE7869" s="69"/>
    </row>
    <row r="7871" spans="291:291" x14ac:dyDescent="0.2">
      <c r="KE7871" s="69"/>
    </row>
    <row r="7875" spans="291:291" x14ac:dyDescent="0.2">
      <c r="KE7875" s="69"/>
    </row>
    <row r="7876" spans="291:291" x14ac:dyDescent="0.2">
      <c r="KE7876" s="69"/>
    </row>
    <row r="7879" spans="291:291" x14ac:dyDescent="0.2">
      <c r="KE7879" s="69"/>
    </row>
    <row r="7880" spans="291:291" x14ac:dyDescent="0.2">
      <c r="KE7880" s="69"/>
    </row>
    <row r="7883" spans="291:291" x14ac:dyDescent="0.2">
      <c r="KE7883" s="69"/>
    </row>
    <row r="7884" spans="291:291" x14ac:dyDescent="0.2">
      <c r="KE7884" s="69"/>
    </row>
    <row r="7885" spans="291:291" x14ac:dyDescent="0.2">
      <c r="KE7885" s="69"/>
    </row>
    <row r="7886" spans="291:291" x14ac:dyDescent="0.2">
      <c r="KE7886" s="69"/>
    </row>
    <row r="7887" spans="291:291" x14ac:dyDescent="0.2">
      <c r="KE7887" s="69"/>
    </row>
    <row r="7888" spans="291:291" x14ac:dyDescent="0.2">
      <c r="KE7888" s="69"/>
    </row>
    <row r="7889" spans="291:291" x14ac:dyDescent="0.2">
      <c r="KE7889" s="69"/>
    </row>
    <row r="7890" spans="291:291" x14ac:dyDescent="0.2">
      <c r="KE7890" s="69"/>
    </row>
    <row r="7892" spans="291:291" x14ac:dyDescent="0.2">
      <c r="KE7892" s="69"/>
    </row>
    <row r="7893" spans="291:291" x14ac:dyDescent="0.2">
      <c r="KE7893" s="69"/>
    </row>
    <row r="7896" spans="291:291" x14ac:dyDescent="0.2">
      <c r="KE7896" s="69"/>
    </row>
    <row r="7897" spans="291:291" x14ac:dyDescent="0.2">
      <c r="KE7897" s="69"/>
    </row>
    <row r="7898" spans="291:291" x14ac:dyDescent="0.2">
      <c r="KE7898" s="69"/>
    </row>
    <row r="7899" spans="291:291" x14ac:dyDescent="0.2">
      <c r="KE7899" s="69"/>
    </row>
    <row r="7901" spans="291:291" x14ac:dyDescent="0.2">
      <c r="KE7901" s="69"/>
    </row>
    <row r="7903" spans="291:291" x14ac:dyDescent="0.2">
      <c r="KE7903" s="69"/>
    </row>
    <row r="7904" spans="291:291" x14ac:dyDescent="0.2">
      <c r="KE7904" s="69"/>
    </row>
    <row r="7905" spans="291:291" x14ac:dyDescent="0.2">
      <c r="KE7905" s="69"/>
    </row>
    <row r="7906" spans="291:291" x14ac:dyDescent="0.2">
      <c r="KE7906" s="69"/>
    </row>
    <row r="7907" spans="291:291" x14ac:dyDescent="0.2">
      <c r="KE7907" s="69"/>
    </row>
    <row r="7908" spans="291:291" x14ac:dyDescent="0.2">
      <c r="KE7908" s="69"/>
    </row>
    <row r="7909" spans="291:291" x14ac:dyDescent="0.2">
      <c r="KE7909" s="69"/>
    </row>
    <row r="7910" spans="291:291" x14ac:dyDescent="0.2">
      <c r="KE7910" s="69"/>
    </row>
    <row r="7911" spans="291:291" x14ac:dyDescent="0.2">
      <c r="KE7911" s="69"/>
    </row>
    <row r="7912" spans="291:291" x14ac:dyDescent="0.2">
      <c r="KE7912" s="69"/>
    </row>
    <row r="7913" spans="291:291" x14ac:dyDescent="0.2">
      <c r="KE7913" s="69"/>
    </row>
    <row r="7914" spans="291:291" x14ac:dyDescent="0.2">
      <c r="KE7914" s="69"/>
    </row>
    <row r="7915" spans="291:291" x14ac:dyDescent="0.2">
      <c r="KE7915" s="69"/>
    </row>
    <row r="7916" spans="291:291" x14ac:dyDescent="0.2">
      <c r="KE7916" s="69"/>
    </row>
    <row r="7917" spans="291:291" x14ac:dyDescent="0.2">
      <c r="KE7917" s="69"/>
    </row>
    <row r="7918" spans="291:291" x14ac:dyDescent="0.2">
      <c r="KE7918" s="69"/>
    </row>
    <row r="7919" spans="291:291" x14ac:dyDescent="0.2">
      <c r="KE7919" s="69"/>
    </row>
    <row r="7922" spans="291:291" x14ac:dyDescent="0.2">
      <c r="KE7922" s="69"/>
    </row>
    <row r="7923" spans="291:291" x14ac:dyDescent="0.2">
      <c r="KE7923" s="69"/>
    </row>
    <row r="7924" spans="291:291" x14ac:dyDescent="0.2">
      <c r="KE7924" s="69"/>
    </row>
    <row r="7928" spans="291:291" x14ac:dyDescent="0.2">
      <c r="KE7928" s="69"/>
    </row>
    <row r="7934" spans="291:291" x14ac:dyDescent="0.2">
      <c r="KE7934" s="69"/>
    </row>
    <row r="7935" spans="291:291" x14ac:dyDescent="0.2">
      <c r="KE7935" s="69"/>
    </row>
    <row r="7936" spans="291:291" x14ac:dyDescent="0.2">
      <c r="KE7936" s="69"/>
    </row>
    <row r="7969" spans="291:291" x14ac:dyDescent="0.2">
      <c r="KE7969" s="69"/>
    </row>
    <row r="7975" spans="291:291" x14ac:dyDescent="0.2">
      <c r="KE7975" s="69"/>
    </row>
    <row r="7987" spans="291:291" x14ac:dyDescent="0.2">
      <c r="KE7987" s="69"/>
    </row>
    <row r="7988" spans="291:291" x14ac:dyDescent="0.2">
      <c r="KE7988" s="69"/>
    </row>
    <row r="8003" spans="291:291" x14ac:dyDescent="0.2">
      <c r="KE8003" s="69"/>
    </row>
    <row r="8004" spans="291:291" x14ac:dyDescent="0.2">
      <c r="KE8004" s="69"/>
    </row>
    <row r="8006" spans="291:291" x14ac:dyDescent="0.2">
      <c r="KE8006" s="69"/>
    </row>
    <row r="8039" spans="291:291" x14ac:dyDescent="0.2">
      <c r="KE8039" s="69"/>
    </row>
    <row r="8041" spans="291:291" x14ac:dyDescent="0.2">
      <c r="KE8041" s="69"/>
    </row>
    <row r="8076" spans="291:291" x14ac:dyDescent="0.2">
      <c r="KE8076" s="69"/>
    </row>
    <row r="8077" spans="291:291" x14ac:dyDescent="0.2">
      <c r="KE8077" s="69"/>
    </row>
    <row r="8094" spans="291:291" x14ac:dyDescent="0.2">
      <c r="KE8094" s="69"/>
    </row>
    <row r="8111" spans="291:291" x14ac:dyDescent="0.2">
      <c r="KE8111" s="69"/>
    </row>
    <row r="8115" spans="291:291" x14ac:dyDescent="0.2">
      <c r="KE8115" s="69"/>
    </row>
    <row r="8116" spans="291:291" x14ac:dyDescent="0.2">
      <c r="KE8116" s="69"/>
    </row>
    <row r="8117" spans="291:291" x14ac:dyDescent="0.2">
      <c r="KE8117" s="69"/>
    </row>
    <row r="8118" spans="291:291" x14ac:dyDescent="0.2">
      <c r="KE8118" s="69"/>
    </row>
    <row r="8119" spans="291:291" x14ac:dyDescent="0.2">
      <c r="KE8119" s="69"/>
    </row>
    <row r="8120" spans="291:291" x14ac:dyDescent="0.2">
      <c r="KE8120" s="69"/>
    </row>
    <row r="8121" spans="291:291" x14ac:dyDescent="0.2">
      <c r="KE8121" s="69"/>
    </row>
    <row r="8122" spans="291:291" x14ac:dyDescent="0.2">
      <c r="KE8122" s="69"/>
    </row>
    <row r="8123" spans="291:291" x14ac:dyDescent="0.2">
      <c r="KE8123" s="69"/>
    </row>
    <row r="8124" spans="291:291" x14ac:dyDescent="0.2">
      <c r="KE8124" s="69"/>
    </row>
    <row r="8125" spans="291:291" x14ac:dyDescent="0.2">
      <c r="KE8125" s="69"/>
    </row>
    <row r="8126" spans="291:291" x14ac:dyDescent="0.2">
      <c r="KE8126" s="69"/>
    </row>
    <row r="8127" spans="291:291" x14ac:dyDescent="0.2">
      <c r="KE8127" s="69"/>
    </row>
    <row r="8128" spans="291:291" x14ac:dyDescent="0.2">
      <c r="KE8128" s="69"/>
    </row>
    <row r="8129" spans="291:291" x14ac:dyDescent="0.2">
      <c r="KE8129" s="69"/>
    </row>
    <row r="8130" spans="291:291" x14ac:dyDescent="0.2">
      <c r="KE8130" s="69"/>
    </row>
    <row r="8131" spans="291:291" x14ac:dyDescent="0.2">
      <c r="KE8131" s="69"/>
    </row>
    <row r="8132" spans="291:291" x14ac:dyDescent="0.2">
      <c r="KE8132" s="69"/>
    </row>
    <row r="8133" spans="291:291" x14ac:dyDescent="0.2">
      <c r="KE8133" s="69"/>
    </row>
    <row r="8134" spans="291:291" x14ac:dyDescent="0.2">
      <c r="KE8134" s="69"/>
    </row>
    <row r="8135" spans="291:291" x14ac:dyDescent="0.2">
      <c r="KE8135" s="69"/>
    </row>
    <row r="8136" spans="291:291" x14ac:dyDescent="0.2">
      <c r="KE8136" s="69"/>
    </row>
    <row r="8137" spans="291:291" x14ac:dyDescent="0.2">
      <c r="KE8137" s="69"/>
    </row>
    <row r="8138" spans="291:291" x14ac:dyDescent="0.2">
      <c r="KE8138" s="69"/>
    </row>
    <row r="8139" spans="291:291" x14ac:dyDescent="0.2">
      <c r="KE8139" s="69"/>
    </row>
    <row r="8140" spans="291:291" x14ac:dyDescent="0.2">
      <c r="KE8140" s="69"/>
    </row>
    <row r="8141" spans="291:291" x14ac:dyDescent="0.2">
      <c r="KE8141" s="69"/>
    </row>
    <row r="8142" spans="291:291" x14ac:dyDescent="0.2">
      <c r="KE8142" s="69"/>
    </row>
    <row r="8143" spans="291:291" x14ac:dyDescent="0.2">
      <c r="KE8143" s="69"/>
    </row>
    <row r="8144" spans="291:291" x14ac:dyDescent="0.2">
      <c r="KE8144" s="69"/>
    </row>
    <row r="8152" spans="291:291" x14ac:dyDescent="0.2">
      <c r="KE8152" s="69"/>
    </row>
    <row r="8160" spans="291:291" x14ac:dyDescent="0.2">
      <c r="KE8160" s="69"/>
    </row>
    <row r="8208" spans="291:291" x14ac:dyDescent="0.2">
      <c r="KE8208" s="69"/>
    </row>
    <row r="8220" spans="291:291" x14ac:dyDescent="0.2">
      <c r="KE8220" s="69"/>
    </row>
    <row r="8228" spans="291:291" x14ac:dyDescent="0.2">
      <c r="KE8228" s="69"/>
    </row>
    <row r="8240" spans="291:291" x14ac:dyDescent="0.2">
      <c r="KE8240" s="69"/>
    </row>
    <row r="8248" spans="291:291" x14ac:dyDescent="0.2">
      <c r="KE8248" s="69"/>
    </row>
    <row r="8323" spans="291:291" x14ac:dyDescent="0.2">
      <c r="KE8323" s="69"/>
    </row>
    <row r="8327" spans="291:291" x14ac:dyDescent="0.2">
      <c r="KE8327" s="69"/>
    </row>
    <row r="8328" spans="291:291" x14ac:dyDescent="0.2">
      <c r="KE8328" s="69"/>
    </row>
    <row r="8339" spans="291:291" x14ac:dyDescent="0.2">
      <c r="KE8339" s="69"/>
    </row>
    <row r="8342" spans="291:291" x14ac:dyDescent="0.2">
      <c r="KE8342" s="69"/>
    </row>
    <row r="8343" spans="291:291" x14ac:dyDescent="0.2">
      <c r="KE8343" s="69"/>
    </row>
    <row r="8344" spans="291:291" x14ac:dyDescent="0.2">
      <c r="KE8344" s="69"/>
    </row>
    <row r="8345" spans="291:291" x14ac:dyDescent="0.2">
      <c r="KE8345" s="69"/>
    </row>
    <row r="8348" spans="291:291" x14ac:dyDescent="0.2">
      <c r="KE8348" s="69"/>
    </row>
    <row r="8351" spans="291:291" x14ac:dyDescent="0.2">
      <c r="KE8351" s="69"/>
    </row>
    <row r="8352" spans="291:291" x14ac:dyDescent="0.2">
      <c r="KE8352" s="69"/>
    </row>
    <row r="8355" spans="291:291" x14ac:dyDescent="0.2">
      <c r="KE8355" s="69"/>
    </row>
    <row r="8420" spans="291:291" x14ac:dyDescent="0.2">
      <c r="KE8420" s="69"/>
    </row>
    <row r="8426" spans="291:291" x14ac:dyDescent="0.2">
      <c r="KE8426" s="69"/>
    </row>
    <row r="8442" spans="291:291" x14ac:dyDescent="0.2">
      <c r="KE8442" s="69"/>
    </row>
    <row r="8444" spans="291:291" x14ac:dyDescent="0.2">
      <c r="KE8444" s="69"/>
    </row>
    <row r="8446" spans="291:291" x14ac:dyDescent="0.2">
      <c r="KE8446" s="69"/>
    </row>
    <row r="8473" spans="291:291" x14ac:dyDescent="0.2">
      <c r="KE8473" s="69"/>
    </row>
    <row r="8474" spans="291:291" x14ac:dyDescent="0.2">
      <c r="KE8474" s="69"/>
    </row>
    <row r="8484" spans="291:291" x14ac:dyDescent="0.2">
      <c r="KE8484" s="69"/>
    </row>
    <row r="8488" spans="291:291" x14ac:dyDescent="0.2">
      <c r="KE8488" s="69"/>
    </row>
    <row r="8501" spans="291:291" x14ac:dyDescent="0.2">
      <c r="KE8501" s="69"/>
    </row>
    <row r="8503" spans="291:291" x14ac:dyDescent="0.2">
      <c r="KE8503" s="69"/>
    </row>
    <row r="8511" spans="291:291" x14ac:dyDescent="0.2">
      <c r="KE8511" s="69"/>
    </row>
    <row r="8557" spans="291:291" x14ac:dyDescent="0.2">
      <c r="KE8557" s="69"/>
    </row>
    <row r="8558" spans="291:291" x14ac:dyDescent="0.2">
      <c r="KE8558" s="69"/>
    </row>
    <row r="8559" spans="291:291" x14ac:dyDescent="0.2">
      <c r="KE8559" s="69"/>
    </row>
    <row r="8560" spans="291:291" x14ac:dyDescent="0.2">
      <c r="KE8560" s="69"/>
    </row>
    <row r="8561" spans="291:291" x14ac:dyDescent="0.2">
      <c r="KE8561" s="69"/>
    </row>
    <row r="8562" spans="291:291" x14ac:dyDescent="0.2">
      <c r="KE8562" s="69"/>
    </row>
    <row r="8593" spans="291:291" x14ac:dyDescent="0.2">
      <c r="KE8593" s="69"/>
    </row>
    <row r="8608" spans="291:291" x14ac:dyDescent="0.2">
      <c r="KE8608" s="69"/>
    </row>
    <row r="8671" spans="291:291" x14ac:dyDescent="0.2">
      <c r="KE8671" s="69"/>
    </row>
    <row r="8686" spans="291:291" x14ac:dyDescent="0.2">
      <c r="KE8686" s="69"/>
    </row>
    <row r="8700" spans="291:291" x14ac:dyDescent="0.2">
      <c r="KE8700" s="69"/>
    </row>
    <row r="8712" spans="291:291" x14ac:dyDescent="0.2">
      <c r="KE8712" s="69"/>
    </row>
    <row r="8713" spans="291:291" x14ac:dyDescent="0.2">
      <c r="KE8713" s="69"/>
    </row>
    <row r="8714" spans="291:291" x14ac:dyDescent="0.2">
      <c r="KE8714" s="69"/>
    </row>
    <row r="8733" spans="291:291" x14ac:dyDescent="0.2">
      <c r="KE8733" s="69"/>
    </row>
    <row r="8734" spans="291:291" x14ac:dyDescent="0.2">
      <c r="KE8734" s="69"/>
    </row>
    <row r="8735" spans="291:291" x14ac:dyDescent="0.2">
      <c r="KE8735" s="69"/>
    </row>
    <row r="8736" spans="291:291" x14ac:dyDescent="0.2">
      <c r="KE8736" s="69"/>
    </row>
    <row r="8737" spans="291:291" x14ac:dyDescent="0.2">
      <c r="KE8737" s="69"/>
    </row>
    <row r="8738" spans="291:291" x14ac:dyDescent="0.2">
      <c r="KE8738" s="69"/>
    </row>
    <row r="8739" spans="291:291" x14ac:dyDescent="0.2">
      <c r="KE8739" s="69"/>
    </row>
    <row r="8740" spans="291:291" x14ac:dyDescent="0.2">
      <c r="KE8740" s="69"/>
    </row>
    <row r="8741" spans="291:291" x14ac:dyDescent="0.2">
      <c r="KE8741" s="69"/>
    </row>
    <row r="8742" spans="291:291" x14ac:dyDescent="0.2">
      <c r="KE8742" s="69"/>
    </row>
    <row r="8743" spans="291:291" x14ac:dyDescent="0.2">
      <c r="KE8743" s="69"/>
    </row>
    <row r="8744" spans="291:291" x14ac:dyDescent="0.2">
      <c r="KE8744" s="69"/>
    </row>
    <row r="8745" spans="291:291" x14ac:dyDescent="0.2">
      <c r="KE8745" s="69"/>
    </row>
    <row r="8746" spans="291:291" x14ac:dyDescent="0.2">
      <c r="KE8746" s="69"/>
    </row>
    <row r="8747" spans="291:291" x14ac:dyDescent="0.2">
      <c r="KE8747" s="69"/>
    </row>
    <row r="8748" spans="291:291" x14ac:dyDescent="0.2">
      <c r="KE8748" s="69"/>
    </row>
    <row r="8749" spans="291:291" x14ac:dyDescent="0.2">
      <c r="KE8749" s="69"/>
    </row>
    <row r="8750" spans="291:291" x14ac:dyDescent="0.2">
      <c r="KE8750" s="69"/>
    </row>
    <row r="8751" spans="291:291" x14ac:dyDescent="0.2">
      <c r="KE8751" s="69"/>
    </row>
    <row r="8752" spans="291:291" x14ac:dyDescent="0.2">
      <c r="KE8752" s="69"/>
    </row>
    <row r="8754" spans="291:291" x14ac:dyDescent="0.2">
      <c r="KE8754" s="69"/>
    </row>
    <row r="8759" spans="291:291" x14ac:dyDescent="0.2">
      <c r="KE8759" s="69"/>
    </row>
    <row r="8760" spans="291:291" x14ac:dyDescent="0.2">
      <c r="KE8760" s="69"/>
    </row>
    <row r="8761" spans="291:291" x14ac:dyDescent="0.2">
      <c r="KE8761" s="69"/>
    </row>
    <row r="8762" spans="291:291" x14ac:dyDescent="0.2">
      <c r="KE8762" s="69"/>
    </row>
    <row r="8763" spans="291:291" x14ac:dyDescent="0.2">
      <c r="KE8763" s="69"/>
    </row>
    <row r="8764" spans="291:291" x14ac:dyDescent="0.2">
      <c r="KE8764" s="69"/>
    </row>
    <row r="8765" spans="291:291" x14ac:dyDescent="0.2">
      <c r="KE8765" s="69"/>
    </row>
    <row r="8766" spans="291:291" x14ac:dyDescent="0.2">
      <c r="KE8766" s="69"/>
    </row>
    <row r="8767" spans="291:291" x14ac:dyDescent="0.2">
      <c r="KE8767" s="69"/>
    </row>
    <row r="8768" spans="291:291" x14ac:dyDescent="0.2">
      <c r="KE8768" s="69"/>
    </row>
    <row r="8769" spans="291:291" x14ac:dyDescent="0.2">
      <c r="KE8769" s="69"/>
    </row>
    <row r="8770" spans="291:291" x14ac:dyDescent="0.2">
      <c r="KE8770" s="69"/>
    </row>
    <row r="8771" spans="291:291" x14ac:dyDescent="0.2">
      <c r="KE8771" s="69"/>
    </row>
    <row r="8772" spans="291:291" x14ac:dyDescent="0.2">
      <c r="KE8772" s="69"/>
    </row>
    <row r="8773" spans="291:291" x14ac:dyDescent="0.2">
      <c r="KE8773" s="69"/>
    </row>
    <row r="8774" spans="291:291" x14ac:dyDescent="0.2">
      <c r="KE8774" s="69"/>
    </row>
    <row r="8775" spans="291:291" x14ac:dyDescent="0.2">
      <c r="KE8775" s="69"/>
    </row>
    <row r="8776" spans="291:291" x14ac:dyDescent="0.2">
      <c r="KE8776" s="69"/>
    </row>
    <row r="8777" spans="291:291" x14ac:dyDescent="0.2">
      <c r="KE8777" s="69"/>
    </row>
    <row r="8778" spans="291:291" x14ac:dyDescent="0.2">
      <c r="KE8778" s="69"/>
    </row>
    <row r="8780" spans="291:291" x14ac:dyDescent="0.2">
      <c r="KE8780" s="69"/>
    </row>
    <row r="8781" spans="291:291" x14ac:dyDescent="0.2">
      <c r="KE8781" s="69"/>
    </row>
    <row r="8782" spans="291:291" x14ac:dyDescent="0.2">
      <c r="KE8782" s="69"/>
    </row>
    <row r="8783" spans="291:291" x14ac:dyDescent="0.2">
      <c r="KE8783" s="69"/>
    </row>
    <row r="8784" spans="291:291" x14ac:dyDescent="0.2">
      <c r="KE8784" s="69"/>
    </row>
    <row r="8785" spans="291:291" x14ac:dyDescent="0.2">
      <c r="KE8785" s="69"/>
    </row>
    <row r="8786" spans="291:291" x14ac:dyDescent="0.2">
      <c r="KE8786" s="69"/>
    </row>
    <row r="8787" spans="291:291" x14ac:dyDescent="0.2">
      <c r="KE8787" s="69"/>
    </row>
    <row r="8788" spans="291:291" x14ac:dyDescent="0.2">
      <c r="KE8788" s="69"/>
    </row>
    <row r="8789" spans="291:291" x14ac:dyDescent="0.2">
      <c r="KE8789" s="69"/>
    </row>
    <row r="8861" spans="291:291" x14ac:dyDescent="0.2">
      <c r="KE8861" s="69"/>
    </row>
    <row r="8886" spans="291:291" x14ac:dyDescent="0.2">
      <c r="KE8886" s="69"/>
    </row>
    <row r="8906" spans="291:291" x14ac:dyDescent="0.2">
      <c r="KE8906" s="69"/>
    </row>
    <row r="8912" spans="291:291" x14ac:dyDescent="0.2">
      <c r="KE8912" s="69"/>
    </row>
    <row r="8941" spans="291:291" x14ac:dyDescent="0.2">
      <c r="KE8941" s="69"/>
    </row>
    <row r="8964" spans="291:291" x14ac:dyDescent="0.2">
      <c r="KE8964" s="69"/>
    </row>
    <row r="8997" spans="291:291" x14ac:dyDescent="0.2">
      <c r="KE8997" s="69"/>
    </row>
    <row r="8998" spans="291:291" x14ac:dyDescent="0.2">
      <c r="KE8998" s="69"/>
    </row>
    <row r="8999" spans="291:291" x14ac:dyDescent="0.2">
      <c r="KE8999" s="69"/>
    </row>
    <row r="9000" spans="291:291" x14ac:dyDescent="0.2">
      <c r="KE9000" s="69"/>
    </row>
    <row r="9001" spans="291:291" x14ac:dyDescent="0.2">
      <c r="KE9001" s="69"/>
    </row>
    <row r="9045" spans="291:291" x14ac:dyDescent="0.2">
      <c r="KE9045" s="69"/>
    </row>
    <row r="9057" spans="291:291" x14ac:dyDescent="0.2">
      <c r="KE9057" s="69"/>
    </row>
    <row r="9064" spans="291:291" x14ac:dyDescent="0.2">
      <c r="KE9064" s="69"/>
    </row>
    <row r="9076" spans="291:291" x14ac:dyDescent="0.2">
      <c r="KE9076" s="69"/>
    </row>
    <row r="9086" spans="291:291" x14ac:dyDescent="0.2">
      <c r="KE9086" s="69"/>
    </row>
    <row r="9094" spans="291:291" x14ac:dyDescent="0.2">
      <c r="KE9094" s="69"/>
    </row>
    <row r="9095" spans="291:291" x14ac:dyDescent="0.2">
      <c r="KE9095" s="69"/>
    </row>
    <row r="9096" spans="291:291" x14ac:dyDescent="0.2">
      <c r="KE9096" s="69"/>
    </row>
    <row r="9097" spans="291:291" x14ac:dyDescent="0.2">
      <c r="KE9097" s="69"/>
    </row>
    <row r="9098" spans="291:291" x14ac:dyDescent="0.2">
      <c r="KE9098" s="69"/>
    </row>
    <row r="9099" spans="291:291" x14ac:dyDescent="0.2">
      <c r="KE9099" s="69"/>
    </row>
    <row r="9104" spans="291:291" x14ac:dyDescent="0.2">
      <c r="KE9104" s="69"/>
    </row>
    <row r="9105" spans="291:291" x14ac:dyDescent="0.2">
      <c r="KE9105" s="69"/>
    </row>
    <row r="9108" spans="291:291" x14ac:dyDescent="0.2">
      <c r="KE9108" s="69"/>
    </row>
    <row r="9109" spans="291:291" x14ac:dyDescent="0.2">
      <c r="KE9109" s="69"/>
    </row>
    <row r="9110" spans="291:291" x14ac:dyDescent="0.2">
      <c r="KE9110" s="69"/>
    </row>
    <row r="9111" spans="291:291" x14ac:dyDescent="0.2">
      <c r="KE9111" s="69"/>
    </row>
    <row r="9112" spans="291:291" x14ac:dyDescent="0.2">
      <c r="KE9112" s="69"/>
    </row>
    <row r="9113" spans="291:291" x14ac:dyDescent="0.2">
      <c r="KE9113" s="69"/>
    </row>
    <row r="9114" spans="291:291" x14ac:dyDescent="0.2">
      <c r="KE9114" s="69"/>
    </row>
    <row r="9115" spans="291:291" x14ac:dyDescent="0.2">
      <c r="KE9115" s="69"/>
    </row>
    <row r="9161" spans="291:291" x14ac:dyDescent="0.2">
      <c r="KE9161" s="69"/>
    </row>
    <row r="9176" spans="291:291" x14ac:dyDescent="0.2">
      <c r="KE9176" s="69"/>
    </row>
    <row r="9178" spans="291:291" x14ac:dyDescent="0.2">
      <c r="KE9178" s="69"/>
    </row>
    <row r="9186" spans="291:291" x14ac:dyDescent="0.2">
      <c r="KE9186" s="69"/>
    </row>
    <row r="9189" spans="291:291" x14ac:dyDescent="0.2">
      <c r="KE9189" s="69"/>
    </row>
    <row r="9190" spans="291:291" x14ac:dyDescent="0.2">
      <c r="KE9190" s="69"/>
    </row>
    <row r="9191" spans="291:291" x14ac:dyDescent="0.2">
      <c r="KE9191" s="69"/>
    </row>
    <row r="9282" spans="291:291" x14ac:dyDescent="0.2">
      <c r="KE9282" s="69"/>
    </row>
    <row r="9288" spans="291:291" x14ac:dyDescent="0.2">
      <c r="KE9288" s="69"/>
    </row>
    <row r="9302" spans="291:291" x14ac:dyDescent="0.2">
      <c r="KE9302" s="69"/>
    </row>
    <row r="9319" spans="291:291" x14ac:dyDescent="0.2">
      <c r="KE9319" s="69"/>
    </row>
    <row r="9347" spans="291:291" x14ac:dyDescent="0.2">
      <c r="KE9347" s="69"/>
    </row>
    <row r="9365" spans="291:291" x14ac:dyDescent="0.2">
      <c r="KE9365" s="69"/>
    </row>
    <row r="9369" spans="291:291" x14ac:dyDescent="0.2">
      <c r="KE9369" s="69"/>
    </row>
    <row r="9373" spans="291:291" x14ac:dyDescent="0.2">
      <c r="KE9373" s="69"/>
    </row>
    <row r="9402" spans="291:291" x14ac:dyDescent="0.2">
      <c r="KE9402" s="69"/>
    </row>
    <row r="9404" spans="291:291" x14ac:dyDescent="0.2">
      <c r="KE9404" s="69"/>
    </row>
    <row r="9430" spans="291:291" x14ac:dyDescent="0.2">
      <c r="KE9430" s="69"/>
    </row>
    <row r="9432" spans="291:291" x14ac:dyDescent="0.2">
      <c r="KE9432" s="69"/>
    </row>
    <row r="9444" spans="291:291" x14ac:dyDescent="0.2">
      <c r="KE9444" s="69"/>
    </row>
    <row r="9450" spans="291:291" x14ac:dyDescent="0.2">
      <c r="KE9450" s="69"/>
    </row>
    <row r="9505" spans="291:291" x14ac:dyDescent="0.2">
      <c r="KE9505" s="69"/>
    </row>
    <row r="9506" spans="291:291" x14ac:dyDescent="0.2">
      <c r="KE9506" s="69"/>
    </row>
    <row r="9512" spans="291:291" x14ac:dyDescent="0.2">
      <c r="KE9512" s="69"/>
    </row>
    <row r="9536" spans="291:291" x14ac:dyDescent="0.2">
      <c r="KE9536" s="69"/>
    </row>
    <row r="9565" spans="291:291" x14ac:dyDescent="0.2">
      <c r="KE9565" s="69"/>
    </row>
    <row r="9566" spans="291:291" x14ac:dyDescent="0.2">
      <c r="KE9566" s="69"/>
    </row>
    <row r="9570" spans="291:291" x14ac:dyDescent="0.2">
      <c r="KE9570" s="69"/>
    </row>
    <row r="9582" spans="291:291" x14ac:dyDescent="0.2">
      <c r="KE9582" s="69"/>
    </row>
    <row r="9583" spans="291:291" x14ac:dyDescent="0.2">
      <c r="KE9583" s="69"/>
    </row>
    <row r="9588" spans="291:291" x14ac:dyDescent="0.2">
      <c r="KE9588" s="69"/>
    </row>
    <row r="9654" spans="291:291" x14ac:dyDescent="0.2">
      <c r="KE9654" s="69"/>
    </row>
    <row r="9657" spans="291:291" x14ac:dyDescent="0.2">
      <c r="KE9657" s="69"/>
    </row>
    <row r="9662" spans="291:291" x14ac:dyDescent="0.2">
      <c r="KE9662" s="69"/>
    </row>
    <row r="9665" spans="291:291" x14ac:dyDescent="0.2">
      <c r="KE9665" s="69"/>
    </row>
    <row r="9666" spans="291:291" x14ac:dyDescent="0.2">
      <c r="KE9666" s="69"/>
    </row>
    <row r="9673" spans="291:291" x14ac:dyDescent="0.2">
      <c r="KE9673" s="69"/>
    </row>
    <row r="9692" spans="291:291" x14ac:dyDescent="0.2">
      <c r="KE9692" s="69"/>
    </row>
    <row r="9719" spans="291:291" x14ac:dyDescent="0.2">
      <c r="KE9719" s="69"/>
    </row>
    <row r="9722" spans="291:291" x14ac:dyDescent="0.2">
      <c r="KE9722" s="69"/>
    </row>
    <row r="9742" spans="291:291" x14ac:dyDescent="0.2">
      <c r="KE9742" s="69"/>
    </row>
    <row r="9744" spans="291:291" x14ac:dyDescent="0.2">
      <c r="KE9744" s="69"/>
    </row>
    <row r="9747" spans="291:291" x14ac:dyDescent="0.2">
      <c r="KE9747" s="69"/>
    </row>
    <row r="9788" spans="291:291" x14ac:dyDescent="0.2">
      <c r="KE9788" s="69"/>
    </row>
    <row r="9795" spans="291:291" x14ac:dyDescent="0.2">
      <c r="KE9795" s="69"/>
    </row>
    <row r="9807" spans="291:291" x14ac:dyDescent="0.2">
      <c r="KE9807" s="69"/>
    </row>
    <row r="9833" spans="291:291" x14ac:dyDescent="0.2">
      <c r="KE9833" s="69"/>
    </row>
    <row r="9834" spans="291:291" x14ac:dyDescent="0.2">
      <c r="KE9834" s="69"/>
    </row>
    <row r="9837" spans="291:291" x14ac:dyDescent="0.2">
      <c r="KE9837" s="69"/>
    </row>
    <row r="9846" spans="291:291" x14ac:dyDescent="0.2">
      <c r="KE9846" s="69"/>
    </row>
    <row r="9862" spans="291:291" x14ac:dyDescent="0.2">
      <c r="KE9862" s="69"/>
    </row>
    <row r="9866" spans="291:291" x14ac:dyDescent="0.2">
      <c r="KE9866" s="69"/>
    </row>
    <row r="9870" spans="291:291" x14ac:dyDescent="0.2">
      <c r="KE9870" s="69"/>
    </row>
    <row r="9875" spans="291:291" x14ac:dyDescent="0.2">
      <c r="KE9875" s="69"/>
    </row>
    <row r="9878" spans="291:291" x14ac:dyDescent="0.2">
      <c r="KE9878" s="69"/>
    </row>
    <row r="9883" spans="291:291" x14ac:dyDescent="0.2">
      <c r="KE9883" s="69"/>
    </row>
    <row r="9905" spans="291:291" x14ac:dyDescent="0.2">
      <c r="KE9905" s="69"/>
    </row>
    <row r="9913" spans="291:291" x14ac:dyDescent="0.2">
      <c r="KE9913" s="69"/>
    </row>
    <row r="9914" spans="291:291" x14ac:dyDescent="0.2">
      <c r="KE9914" s="69"/>
    </row>
    <row r="9918" spans="291:291" x14ac:dyDescent="0.2">
      <c r="KE9918" s="69"/>
    </row>
    <row r="9919" spans="291:291" x14ac:dyDescent="0.2">
      <c r="KE9919" s="69"/>
    </row>
    <row r="9922" spans="291:291" x14ac:dyDescent="0.2">
      <c r="KE9922" s="69"/>
    </row>
    <row r="9925" spans="291:291" x14ac:dyDescent="0.2">
      <c r="KE9925" s="69"/>
    </row>
    <row r="9926" spans="291:291" x14ac:dyDescent="0.2">
      <c r="KE9926" s="69"/>
    </row>
    <row r="9927" spans="291:291" x14ac:dyDescent="0.2">
      <c r="KE9927" s="69"/>
    </row>
    <row r="9928" spans="291:291" x14ac:dyDescent="0.2">
      <c r="KE9928" s="69"/>
    </row>
    <row r="9929" spans="291:291" x14ac:dyDescent="0.2">
      <c r="KE9929" s="69"/>
    </row>
    <row r="9930" spans="291:291" x14ac:dyDescent="0.2">
      <c r="KE9930" s="69"/>
    </row>
    <row r="9939" spans="291:291" x14ac:dyDescent="0.2">
      <c r="KE9939" s="69"/>
    </row>
    <row r="9951" spans="291:291" x14ac:dyDescent="0.2">
      <c r="KE9951" s="69"/>
    </row>
    <row r="10003" spans="291:291" x14ac:dyDescent="0.2">
      <c r="KE10003" s="69"/>
    </row>
    <row r="10036" spans="291:291" x14ac:dyDescent="0.2">
      <c r="KE10036" s="69"/>
    </row>
    <row r="10043" spans="291:291" x14ac:dyDescent="0.2">
      <c r="KE10043" s="69"/>
    </row>
    <row r="10045" spans="291:291" x14ac:dyDescent="0.2">
      <c r="KE10045" s="69"/>
    </row>
    <row r="10049" spans="291:291" x14ac:dyDescent="0.2">
      <c r="KE10049" s="69"/>
    </row>
    <row r="10053" spans="291:291" x14ac:dyDescent="0.2">
      <c r="KE10053" s="69"/>
    </row>
    <row r="10156" spans="291:291" x14ac:dyDescent="0.2">
      <c r="KE10156" s="69"/>
    </row>
    <row r="10184" spans="291:291" x14ac:dyDescent="0.2">
      <c r="KE10184" s="69"/>
    </row>
    <row r="10193" spans="291:291" x14ac:dyDescent="0.2">
      <c r="KE10193" s="69"/>
    </row>
    <row r="10255" spans="291:291" x14ac:dyDescent="0.2">
      <c r="KE10255" s="69"/>
    </row>
    <row r="10262" spans="291:291" x14ac:dyDescent="0.2">
      <c r="KE10262" s="69"/>
    </row>
    <row r="10264" spans="291:291" x14ac:dyDescent="0.2">
      <c r="KE10264" s="69"/>
    </row>
    <row r="10269" spans="291:291" x14ac:dyDescent="0.2">
      <c r="KE10269" s="69"/>
    </row>
    <row r="10279" spans="291:291" x14ac:dyDescent="0.2">
      <c r="KE10279" s="69"/>
    </row>
    <row r="10281" spans="291:291" x14ac:dyDescent="0.2">
      <c r="KE10281" s="69"/>
    </row>
    <row r="10311" spans="291:291" x14ac:dyDescent="0.2">
      <c r="KE10311" s="69"/>
    </row>
    <row r="10312" spans="291:291" x14ac:dyDescent="0.2">
      <c r="KE10312" s="69"/>
    </row>
    <row r="10313" spans="291:291" x14ac:dyDescent="0.2">
      <c r="KE10313" s="69"/>
    </row>
    <row r="10314" spans="291:291" x14ac:dyDescent="0.2">
      <c r="KE10314" s="69"/>
    </row>
    <row r="10376" spans="291:291" x14ac:dyDescent="0.2">
      <c r="KE10376" s="69"/>
    </row>
    <row r="10415" spans="291:291" x14ac:dyDescent="0.2">
      <c r="KE10415" s="69"/>
    </row>
    <row r="10434" spans="291:291" x14ac:dyDescent="0.2">
      <c r="KE10434" s="69"/>
    </row>
    <row r="10437" spans="291:291" x14ac:dyDescent="0.2">
      <c r="KE10437" s="69"/>
    </row>
    <row r="10460" spans="291:291" x14ac:dyDescent="0.2">
      <c r="KE10460" s="69"/>
    </row>
    <row r="10462" spans="291:291" x14ac:dyDescent="0.2">
      <c r="KE10462" s="69"/>
    </row>
    <row r="10464" spans="291:291" x14ac:dyDescent="0.2">
      <c r="KE10464" s="69"/>
    </row>
    <row r="10475" spans="291:291" x14ac:dyDescent="0.2">
      <c r="KE10475" s="69"/>
    </row>
    <row r="10483" spans="291:291" x14ac:dyDescent="0.2">
      <c r="KE10483" s="69"/>
    </row>
    <row r="10516" spans="291:291" x14ac:dyDescent="0.2">
      <c r="KE10516" s="69"/>
    </row>
    <row r="10562" spans="291:291" x14ac:dyDescent="0.2">
      <c r="KE10562" s="69"/>
    </row>
    <row r="10607" spans="291:291" x14ac:dyDescent="0.2">
      <c r="KE10607" s="69"/>
    </row>
    <row r="10608" spans="291:291" x14ac:dyDescent="0.2">
      <c r="KE10608" s="69"/>
    </row>
    <row r="10609" spans="291:291" x14ac:dyDescent="0.2">
      <c r="KE10609" s="69"/>
    </row>
    <row r="10610" spans="291:291" x14ac:dyDescent="0.2">
      <c r="KE10610" s="69"/>
    </row>
    <row r="10611" spans="291:291" x14ac:dyDescent="0.2">
      <c r="KE10611" s="69"/>
    </row>
    <row r="10612" spans="291:291" x14ac:dyDescent="0.2">
      <c r="KE10612" s="69"/>
    </row>
    <row r="10613" spans="291:291" x14ac:dyDescent="0.2">
      <c r="KE10613" s="69"/>
    </row>
    <row r="10629" spans="291:291" x14ac:dyDescent="0.2">
      <c r="KE10629" s="69"/>
    </row>
    <row r="10635" spans="291:291" x14ac:dyDescent="0.2">
      <c r="KE10635" s="69"/>
    </row>
    <row r="10664" spans="291:291" x14ac:dyDescent="0.2">
      <c r="KE10664" s="69"/>
    </row>
    <row r="10702" spans="291:291" x14ac:dyDescent="0.2">
      <c r="KE10702" s="69"/>
    </row>
    <row r="10746" spans="291:291" x14ac:dyDescent="0.2">
      <c r="KE10746" s="69"/>
    </row>
    <row r="10751" spans="291:291" x14ac:dyDescent="0.2">
      <c r="KE10751" s="69"/>
    </row>
    <row r="10792" spans="291:291" x14ac:dyDescent="0.2">
      <c r="KE10792" s="69"/>
    </row>
    <row r="10856" spans="291:291" x14ac:dyDescent="0.2">
      <c r="KE10856" s="69"/>
    </row>
    <row r="10858" spans="291:291" x14ac:dyDescent="0.2">
      <c r="KE10858" s="69"/>
    </row>
    <row r="10859" spans="291:291" x14ac:dyDescent="0.2">
      <c r="KE10859" s="69"/>
    </row>
    <row r="10860" spans="291:291" x14ac:dyDescent="0.2">
      <c r="KE10860" s="69"/>
    </row>
    <row r="10861" spans="291:291" x14ac:dyDescent="0.2">
      <c r="KE10861" s="69"/>
    </row>
    <row r="10887" spans="291:291" x14ac:dyDescent="0.2">
      <c r="KE10887" s="69"/>
    </row>
    <row r="10889" spans="291:291" x14ac:dyDescent="0.2">
      <c r="KE10889" s="69"/>
    </row>
    <row r="10891" spans="291:291" x14ac:dyDescent="0.2">
      <c r="KE10891" s="69"/>
    </row>
    <row r="10897" spans="291:291" x14ac:dyDescent="0.2">
      <c r="KE10897" s="69"/>
    </row>
    <row r="10972" spans="291:291" x14ac:dyDescent="0.2">
      <c r="KE10972" s="69"/>
    </row>
    <row r="10978" spans="291:291" x14ac:dyDescent="0.2">
      <c r="KE10978" s="69"/>
    </row>
    <row r="10979" spans="291:291" x14ac:dyDescent="0.2">
      <c r="KE10979" s="69"/>
    </row>
    <row r="10987" spans="291:291" x14ac:dyDescent="0.2">
      <c r="KE10987" s="69"/>
    </row>
    <row r="10989" spans="291:291" x14ac:dyDescent="0.2">
      <c r="KE10989" s="69"/>
    </row>
    <row r="11007" spans="291:291" x14ac:dyDescent="0.2">
      <c r="KE11007" s="69"/>
    </row>
    <row r="11008" spans="291:291" x14ac:dyDescent="0.2">
      <c r="KE11008" s="69"/>
    </row>
    <row r="11009" spans="291:291" x14ac:dyDescent="0.2">
      <c r="KE11009" s="69"/>
    </row>
    <row r="11010" spans="291:291" x14ac:dyDescent="0.2">
      <c r="KE11010" s="69"/>
    </row>
    <row r="11011" spans="291:291" x14ac:dyDescent="0.2">
      <c r="KE11011" s="69"/>
    </row>
    <row r="11012" spans="291:291" x14ac:dyDescent="0.2">
      <c r="KE11012" s="69"/>
    </row>
    <row r="11013" spans="291:291" x14ac:dyDescent="0.2">
      <c r="KE11013" s="69"/>
    </row>
    <row r="11014" spans="291:291" x14ac:dyDescent="0.2">
      <c r="KE11014" s="69"/>
    </row>
    <row r="11015" spans="291:291" x14ac:dyDescent="0.2">
      <c r="KE11015" s="69"/>
    </row>
    <row r="11016" spans="291:291" x14ac:dyDescent="0.2">
      <c r="KE11016" s="69"/>
    </row>
    <row r="11017" spans="291:291" x14ac:dyDescent="0.2">
      <c r="KE11017" s="69"/>
    </row>
    <row r="11018" spans="291:291" x14ac:dyDescent="0.2">
      <c r="KE11018" s="69"/>
    </row>
    <row r="11019" spans="291:291" x14ac:dyDescent="0.2">
      <c r="KE11019" s="69"/>
    </row>
    <row r="11020" spans="291:291" x14ac:dyDescent="0.2">
      <c r="KE11020" s="69"/>
    </row>
    <row r="11021" spans="291:291" x14ac:dyDescent="0.2">
      <c r="KE11021" s="69"/>
    </row>
    <row r="11022" spans="291:291" x14ac:dyDescent="0.2">
      <c r="KE11022" s="69"/>
    </row>
    <row r="11023" spans="291:291" x14ac:dyDescent="0.2">
      <c r="KE11023" s="69"/>
    </row>
    <row r="11024" spans="291:291" x14ac:dyDescent="0.2">
      <c r="KE11024" s="69"/>
    </row>
    <row r="11025" spans="291:291" x14ac:dyDescent="0.2">
      <c r="KE11025" s="69"/>
    </row>
    <row r="11026" spans="291:291" x14ac:dyDescent="0.2">
      <c r="KE11026" s="69"/>
    </row>
    <row r="11028" spans="291:291" x14ac:dyDescent="0.2">
      <c r="KE11028" s="69"/>
    </row>
    <row r="11029" spans="291:291" x14ac:dyDescent="0.2">
      <c r="KE11029" s="69"/>
    </row>
    <row r="11030" spans="291:291" x14ac:dyDescent="0.2">
      <c r="KE11030" s="69"/>
    </row>
    <row r="11031" spans="291:291" x14ac:dyDescent="0.2">
      <c r="KE11031" s="69"/>
    </row>
    <row r="11032" spans="291:291" x14ac:dyDescent="0.2">
      <c r="KE11032" s="69"/>
    </row>
    <row r="11033" spans="291:291" x14ac:dyDescent="0.2">
      <c r="KE11033" s="69"/>
    </row>
    <row r="11034" spans="291:291" x14ac:dyDescent="0.2">
      <c r="KE11034" s="69"/>
    </row>
    <row r="11035" spans="291:291" x14ac:dyDescent="0.2">
      <c r="KE11035" s="69"/>
    </row>
    <row r="11036" spans="291:291" x14ac:dyDescent="0.2">
      <c r="KE11036" s="69"/>
    </row>
    <row r="11037" spans="291:291" x14ac:dyDescent="0.2">
      <c r="KE11037" s="69"/>
    </row>
    <row r="11038" spans="291:291" x14ac:dyDescent="0.2">
      <c r="KE11038" s="69"/>
    </row>
    <row r="11039" spans="291:291" x14ac:dyDescent="0.2">
      <c r="KE11039" s="69"/>
    </row>
    <row r="11040" spans="291:291" x14ac:dyDescent="0.2">
      <c r="KE11040" s="69"/>
    </row>
    <row r="11041" spans="291:291" x14ac:dyDescent="0.2">
      <c r="KE11041" s="69"/>
    </row>
    <row r="11042" spans="291:291" x14ac:dyDescent="0.2">
      <c r="KE11042" s="69"/>
    </row>
    <row r="11043" spans="291:291" x14ac:dyDescent="0.2">
      <c r="KE11043" s="69"/>
    </row>
    <row r="11044" spans="291:291" x14ac:dyDescent="0.2">
      <c r="KE11044" s="69"/>
    </row>
    <row r="11045" spans="291:291" x14ac:dyDescent="0.2">
      <c r="KE11045" s="69"/>
    </row>
    <row r="11046" spans="291:291" x14ac:dyDescent="0.2">
      <c r="KE11046" s="69"/>
    </row>
    <row r="11047" spans="291:291" x14ac:dyDescent="0.2">
      <c r="KE11047" s="69"/>
    </row>
    <row r="11048" spans="291:291" x14ac:dyDescent="0.2">
      <c r="KE11048" s="69"/>
    </row>
    <row r="11049" spans="291:291" x14ac:dyDescent="0.2">
      <c r="KE11049" s="69"/>
    </row>
    <row r="11050" spans="291:291" x14ac:dyDescent="0.2">
      <c r="KE11050" s="69"/>
    </row>
    <row r="11051" spans="291:291" x14ac:dyDescent="0.2">
      <c r="KE11051" s="69"/>
    </row>
    <row r="11052" spans="291:291" x14ac:dyDescent="0.2">
      <c r="KE11052" s="69"/>
    </row>
    <row r="11053" spans="291:291" x14ac:dyDescent="0.2">
      <c r="KE11053" s="69"/>
    </row>
    <row r="11054" spans="291:291" x14ac:dyDescent="0.2">
      <c r="KE11054" s="69"/>
    </row>
    <row r="11055" spans="291:291" x14ac:dyDescent="0.2">
      <c r="KE11055" s="69"/>
    </row>
    <row r="11056" spans="291:291" x14ac:dyDescent="0.2">
      <c r="KE11056" s="69"/>
    </row>
    <row r="11057" spans="291:291" x14ac:dyDescent="0.2">
      <c r="KE11057" s="69"/>
    </row>
    <row r="11058" spans="291:291" x14ac:dyDescent="0.2">
      <c r="KE11058" s="69"/>
    </row>
    <row r="11059" spans="291:291" x14ac:dyDescent="0.2">
      <c r="KE11059" s="69"/>
    </row>
    <row r="11060" spans="291:291" x14ac:dyDescent="0.2">
      <c r="KE11060" s="69"/>
    </row>
    <row r="11061" spans="291:291" x14ac:dyDescent="0.2">
      <c r="KE11061" s="69"/>
    </row>
    <row r="11064" spans="291:291" x14ac:dyDescent="0.2">
      <c r="KE11064" s="69"/>
    </row>
    <row r="11065" spans="291:291" x14ac:dyDescent="0.2">
      <c r="KE11065" s="69"/>
    </row>
    <row r="11066" spans="291:291" x14ac:dyDescent="0.2">
      <c r="KE11066" s="69"/>
    </row>
    <row r="11067" spans="291:291" x14ac:dyDescent="0.2">
      <c r="KE11067" s="69"/>
    </row>
    <row r="11070" spans="291:291" x14ac:dyDescent="0.2">
      <c r="KE11070" s="69"/>
    </row>
    <row r="11071" spans="291:291" x14ac:dyDescent="0.2">
      <c r="KE11071" s="69"/>
    </row>
    <row r="11074" spans="291:291" x14ac:dyDescent="0.2">
      <c r="KE11074" s="69"/>
    </row>
    <row r="11075" spans="291:291" x14ac:dyDescent="0.2">
      <c r="KE11075" s="69"/>
    </row>
    <row r="11076" spans="291:291" x14ac:dyDescent="0.2">
      <c r="KE11076" s="69"/>
    </row>
    <row r="11077" spans="291:291" x14ac:dyDescent="0.2">
      <c r="KE11077" s="69"/>
    </row>
    <row r="11078" spans="291:291" x14ac:dyDescent="0.2">
      <c r="KE11078" s="69"/>
    </row>
    <row r="11079" spans="291:291" x14ac:dyDescent="0.2">
      <c r="KE11079" s="69"/>
    </row>
    <row r="11080" spans="291:291" x14ac:dyDescent="0.2">
      <c r="KE11080" s="69"/>
    </row>
    <row r="11083" spans="291:291" x14ac:dyDescent="0.2">
      <c r="KE11083" s="69"/>
    </row>
    <row r="11084" spans="291:291" x14ac:dyDescent="0.2">
      <c r="KE11084" s="69"/>
    </row>
    <row r="11085" spans="291:291" x14ac:dyDescent="0.2">
      <c r="KE11085" s="69"/>
    </row>
    <row r="11088" spans="291:291" x14ac:dyDescent="0.2">
      <c r="KE11088" s="69"/>
    </row>
    <row r="11089" spans="291:291" x14ac:dyDescent="0.2">
      <c r="KE11089" s="69"/>
    </row>
    <row r="11090" spans="291:291" x14ac:dyDescent="0.2">
      <c r="KE11090" s="69"/>
    </row>
    <row r="11093" spans="291:291" x14ac:dyDescent="0.2">
      <c r="KE11093" s="69"/>
    </row>
    <row r="11094" spans="291:291" x14ac:dyDescent="0.2">
      <c r="KE11094" s="69"/>
    </row>
    <row r="11095" spans="291:291" x14ac:dyDescent="0.2">
      <c r="KE11095" s="69"/>
    </row>
    <row r="11100" spans="291:291" x14ac:dyDescent="0.2">
      <c r="KE11100" s="69"/>
    </row>
    <row r="11101" spans="291:291" x14ac:dyDescent="0.2">
      <c r="KE11101" s="69"/>
    </row>
    <row r="11102" spans="291:291" x14ac:dyDescent="0.2">
      <c r="KE11102" s="69"/>
    </row>
    <row r="11103" spans="291:291" x14ac:dyDescent="0.2">
      <c r="KE11103" s="69"/>
    </row>
    <row r="11106" spans="291:291" x14ac:dyDescent="0.2">
      <c r="KE11106" s="69"/>
    </row>
    <row r="11107" spans="291:291" x14ac:dyDescent="0.2">
      <c r="KE11107" s="69"/>
    </row>
    <row r="11108" spans="291:291" x14ac:dyDescent="0.2">
      <c r="KE11108" s="69"/>
    </row>
    <row r="11109" spans="291:291" x14ac:dyDescent="0.2">
      <c r="KE11109" s="69"/>
    </row>
    <row r="11110" spans="291:291" x14ac:dyDescent="0.2">
      <c r="KE11110" s="69"/>
    </row>
    <row r="11111" spans="291:291" x14ac:dyDescent="0.2">
      <c r="KE11111" s="69"/>
    </row>
    <row r="11114" spans="291:291" x14ac:dyDescent="0.2">
      <c r="KE11114" s="69"/>
    </row>
    <row r="11115" spans="291:291" x14ac:dyDescent="0.2">
      <c r="KE11115" s="69"/>
    </row>
    <row r="11116" spans="291:291" x14ac:dyDescent="0.2">
      <c r="KE11116" s="69"/>
    </row>
    <row r="11117" spans="291:291" x14ac:dyDescent="0.2">
      <c r="KE11117" s="69"/>
    </row>
    <row r="11118" spans="291:291" x14ac:dyDescent="0.2">
      <c r="KE11118" s="69"/>
    </row>
    <row r="11119" spans="291:291" x14ac:dyDescent="0.2">
      <c r="KE11119" s="69"/>
    </row>
    <row r="11120" spans="291:291" x14ac:dyDescent="0.2">
      <c r="KE11120" s="69"/>
    </row>
    <row r="11121" spans="291:291" x14ac:dyDescent="0.2">
      <c r="KE11121" s="69"/>
    </row>
    <row r="11122" spans="291:291" x14ac:dyDescent="0.2">
      <c r="KE11122" s="69"/>
    </row>
    <row r="11125" spans="291:291" x14ac:dyDescent="0.2">
      <c r="KE11125" s="69"/>
    </row>
    <row r="11127" spans="291:291" x14ac:dyDescent="0.2">
      <c r="KE11127" s="69"/>
    </row>
    <row r="11128" spans="291:291" x14ac:dyDescent="0.2">
      <c r="KE11128" s="69"/>
    </row>
    <row r="11131" spans="291:291" x14ac:dyDescent="0.2">
      <c r="KE11131" s="69"/>
    </row>
    <row r="11136" spans="291:291" x14ac:dyDescent="0.2">
      <c r="KE11136" s="69"/>
    </row>
    <row r="11139" spans="291:291" x14ac:dyDescent="0.2">
      <c r="KE11139" s="69"/>
    </row>
    <row r="11141" spans="291:291" x14ac:dyDescent="0.2">
      <c r="KE11141" s="69"/>
    </row>
    <row r="11142" spans="291:291" x14ac:dyDescent="0.2">
      <c r="KE11142" s="69"/>
    </row>
    <row r="11144" spans="291:291" x14ac:dyDescent="0.2">
      <c r="KE11144" s="69"/>
    </row>
    <row r="11145" spans="291:291" x14ac:dyDescent="0.2">
      <c r="KE11145" s="69"/>
    </row>
    <row r="11147" spans="291:291" x14ac:dyDescent="0.2">
      <c r="KE11147" s="69"/>
    </row>
    <row r="11152" spans="291:291" x14ac:dyDescent="0.2">
      <c r="KE11152" s="69"/>
    </row>
    <row r="11153" spans="291:291" x14ac:dyDescent="0.2">
      <c r="KE11153" s="69"/>
    </row>
    <row r="11156" spans="291:291" x14ac:dyDescent="0.2">
      <c r="KE11156" s="69"/>
    </row>
    <row r="11157" spans="291:291" x14ac:dyDescent="0.2">
      <c r="KE11157" s="69"/>
    </row>
    <row r="11160" spans="291:291" x14ac:dyDescent="0.2">
      <c r="KE11160" s="69"/>
    </row>
    <row r="11161" spans="291:291" x14ac:dyDescent="0.2">
      <c r="KE11161" s="69"/>
    </row>
    <row r="11164" spans="291:291" x14ac:dyDescent="0.2">
      <c r="KE11164" s="69"/>
    </row>
    <row r="11165" spans="291:291" x14ac:dyDescent="0.2">
      <c r="KE11165" s="69"/>
    </row>
    <row r="11168" spans="291:291" x14ac:dyDescent="0.2">
      <c r="KE11168" s="69"/>
    </row>
    <row r="11169" spans="291:291" x14ac:dyDescent="0.2">
      <c r="KE11169" s="69"/>
    </row>
    <row r="11172" spans="291:291" x14ac:dyDescent="0.2">
      <c r="KE11172" s="69"/>
    </row>
    <row r="11173" spans="291:291" x14ac:dyDescent="0.2">
      <c r="KE11173" s="69"/>
    </row>
    <row r="11176" spans="291:291" x14ac:dyDescent="0.2">
      <c r="KE11176" s="69"/>
    </row>
    <row r="11177" spans="291:291" x14ac:dyDescent="0.2">
      <c r="KE11177" s="69"/>
    </row>
    <row r="11178" spans="291:291" x14ac:dyDescent="0.2">
      <c r="KE11178" s="69"/>
    </row>
    <row r="11199" spans="291:291" x14ac:dyDescent="0.2">
      <c r="KE11199" s="69"/>
    </row>
    <row r="11200" spans="291:291" x14ac:dyDescent="0.2">
      <c r="KE11200" s="69"/>
    </row>
    <row r="11238" spans="291:291" x14ac:dyDescent="0.2">
      <c r="KE11238" s="69"/>
    </row>
    <row r="11255" spans="291:291" x14ac:dyDescent="0.2">
      <c r="KE11255" s="69"/>
    </row>
    <row r="11271" spans="291:291" x14ac:dyDescent="0.2">
      <c r="KE11271" s="69"/>
    </row>
    <row r="11272" spans="291:291" x14ac:dyDescent="0.2">
      <c r="KE11272" s="69"/>
    </row>
    <row r="11273" spans="291:291" x14ac:dyDescent="0.2">
      <c r="KE11273" s="69"/>
    </row>
    <row r="11274" spans="291:291" x14ac:dyDescent="0.2">
      <c r="KE11274" s="69"/>
    </row>
    <row r="11282" spans="291:291" x14ac:dyDescent="0.2">
      <c r="KE11282" s="69"/>
    </row>
    <row r="11298" spans="291:291" x14ac:dyDescent="0.2">
      <c r="KE11298" s="69"/>
    </row>
    <row r="11299" spans="291:291" x14ac:dyDescent="0.2">
      <c r="KE11299" s="69"/>
    </row>
    <row r="11311" spans="291:291" x14ac:dyDescent="0.2">
      <c r="KE11311" s="69"/>
    </row>
    <row r="11312" spans="291:291" x14ac:dyDescent="0.2">
      <c r="KE11312" s="69"/>
    </row>
    <row r="11313" spans="291:291" x14ac:dyDescent="0.2">
      <c r="KE11313" s="69"/>
    </row>
    <row r="11314" spans="291:291" x14ac:dyDescent="0.2">
      <c r="KE11314" s="69"/>
    </row>
    <row r="11315" spans="291:291" x14ac:dyDescent="0.2">
      <c r="KE11315" s="69"/>
    </row>
    <row r="11331" spans="291:291" x14ac:dyDescent="0.2">
      <c r="KE11331" s="69"/>
    </row>
    <row r="11337" spans="291:291" x14ac:dyDescent="0.2">
      <c r="KE11337" s="69"/>
    </row>
    <row r="11338" spans="291:291" x14ac:dyDescent="0.2">
      <c r="KE11338" s="69"/>
    </row>
    <row r="11339" spans="291:291" x14ac:dyDescent="0.2">
      <c r="KE11339" s="69"/>
    </row>
    <row r="11340" spans="291:291" x14ac:dyDescent="0.2">
      <c r="KE11340" s="69"/>
    </row>
    <row r="11341" spans="291:291" x14ac:dyDescent="0.2">
      <c r="KE11341" s="69"/>
    </row>
    <row r="11342" spans="291:291" x14ac:dyDescent="0.2">
      <c r="KE11342" s="69"/>
    </row>
    <row r="11343" spans="291:291" x14ac:dyDescent="0.2">
      <c r="KE11343" s="69"/>
    </row>
    <row r="11365" spans="291:291" x14ac:dyDescent="0.2">
      <c r="KE11365" s="69"/>
    </row>
    <row r="11367" spans="291:291" x14ac:dyDescent="0.2">
      <c r="KE11367" s="69"/>
    </row>
    <row r="11412" spans="291:291" x14ac:dyDescent="0.2">
      <c r="KE11412" s="69"/>
    </row>
    <row r="11413" spans="291:291" x14ac:dyDescent="0.2">
      <c r="KE11413" s="69"/>
    </row>
    <row r="11414" spans="291:291" x14ac:dyDescent="0.2">
      <c r="KE11414" s="69"/>
    </row>
    <row r="11417" spans="291:291" x14ac:dyDescent="0.2">
      <c r="KE11417" s="69"/>
    </row>
    <row r="11449" spans="291:291" x14ac:dyDescent="0.2">
      <c r="KE11449" s="69"/>
    </row>
    <row r="11462" spans="291:291" x14ac:dyDescent="0.2">
      <c r="KE11462" s="69"/>
    </row>
    <row r="11479" spans="291:291" x14ac:dyDescent="0.2">
      <c r="KE11479" s="69"/>
    </row>
    <row r="11481" spans="291:291" x14ac:dyDescent="0.2">
      <c r="KE11481" s="69"/>
    </row>
    <row r="11487" spans="291:291" x14ac:dyDescent="0.2">
      <c r="KE11487" s="69"/>
    </row>
    <row r="11492" spans="291:291" x14ac:dyDescent="0.2">
      <c r="KE11492" s="69"/>
    </row>
    <row r="11530" spans="291:291" x14ac:dyDescent="0.2">
      <c r="KE11530" s="69"/>
    </row>
    <row r="11532" spans="291:291" x14ac:dyDescent="0.2">
      <c r="KE11532" s="69"/>
    </row>
    <row r="11536" spans="291:291" x14ac:dyDescent="0.2">
      <c r="KE11536" s="69"/>
    </row>
    <row r="11550" spans="291:291" x14ac:dyDescent="0.2">
      <c r="KE11550" s="69"/>
    </row>
    <row r="11556" spans="291:291" x14ac:dyDescent="0.2">
      <c r="KE11556" s="69"/>
    </row>
    <row r="11664" spans="291:291" x14ac:dyDescent="0.2">
      <c r="KE11664" s="69"/>
    </row>
    <row r="11705" spans="291:291" x14ac:dyDescent="0.2">
      <c r="KE11705" s="69"/>
    </row>
    <row r="11745" spans="291:291" x14ac:dyDescent="0.2">
      <c r="KE11745" s="69"/>
    </row>
    <row r="11807" spans="291:291" x14ac:dyDescent="0.2">
      <c r="KE11807" s="69"/>
    </row>
    <row r="11840" spans="291:291" x14ac:dyDescent="0.2">
      <c r="KE11840" s="69"/>
    </row>
    <row r="11875" spans="291:291" x14ac:dyDescent="0.2">
      <c r="KE11875" s="69"/>
    </row>
    <row r="11884" spans="291:291" x14ac:dyDescent="0.2">
      <c r="KE11884" s="69"/>
    </row>
    <row r="11931" spans="291:291" x14ac:dyDescent="0.2">
      <c r="KE11931" s="69"/>
    </row>
    <row r="11936" spans="291:291" x14ac:dyDescent="0.2">
      <c r="KE11936" s="69"/>
    </row>
    <row r="11937" spans="291:291" x14ac:dyDescent="0.2">
      <c r="KE11937" s="69"/>
    </row>
    <row r="11941" spans="291:291" x14ac:dyDescent="0.2">
      <c r="KE11941" s="69"/>
    </row>
    <row r="11946" spans="291:291" x14ac:dyDescent="0.2">
      <c r="KE11946" s="69"/>
    </row>
    <row r="11955" spans="291:291" x14ac:dyDescent="0.2">
      <c r="KE11955" s="69"/>
    </row>
    <row r="11956" spans="291:291" x14ac:dyDescent="0.2">
      <c r="KE11956" s="69"/>
    </row>
    <row r="11963" spans="291:291" x14ac:dyDescent="0.2">
      <c r="KE11963" s="69"/>
    </row>
    <row r="11972" spans="291:291" x14ac:dyDescent="0.2">
      <c r="KE11972" s="69"/>
    </row>
    <row r="12000" spans="291:291" x14ac:dyDescent="0.2">
      <c r="KE12000" s="69"/>
    </row>
    <row r="12087" spans="291:291" x14ac:dyDescent="0.2">
      <c r="KE12087" s="69"/>
    </row>
    <row r="12090" spans="291:291" x14ac:dyDescent="0.2">
      <c r="KE12090" s="69"/>
    </row>
    <row r="12091" spans="291:291" x14ac:dyDescent="0.2">
      <c r="KE12091" s="69"/>
    </row>
    <row r="12092" spans="291:291" x14ac:dyDescent="0.2">
      <c r="KE12092" s="69"/>
    </row>
    <row r="12093" spans="291:291" x14ac:dyDescent="0.2">
      <c r="KE12093" s="69"/>
    </row>
    <row r="12094" spans="291:291" x14ac:dyDescent="0.2">
      <c r="KE12094" s="69"/>
    </row>
    <row r="12095" spans="291:291" x14ac:dyDescent="0.2">
      <c r="KE12095" s="69"/>
    </row>
    <row r="12096" spans="291:291" x14ac:dyDescent="0.2">
      <c r="KE12096" s="69"/>
    </row>
    <row r="12097" spans="291:291" x14ac:dyDescent="0.2">
      <c r="KE12097" s="69"/>
    </row>
    <row r="12098" spans="291:291" x14ac:dyDescent="0.2">
      <c r="KE12098" s="69"/>
    </row>
    <row r="12099" spans="291:291" x14ac:dyDescent="0.2">
      <c r="KE12099" s="69"/>
    </row>
    <row r="12100" spans="291:291" x14ac:dyDescent="0.2">
      <c r="KE12100" s="69"/>
    </row>
    <row r="12119" spans="291:291" x14ac:dyDescent="0.2">
      <c r="KE12119" s="69"/>
    </row>
    <row r="12129" spans="291:291" x14ac:dyDescent="0.2">
      <c r="KE12129" s="69"/>
    </row>
    <row r="12139" spans="291:291" x14ac:dyDescent="0.2">
      <c r="KE12139" s="69"/>
    </row>
    <row r="12154" spans="291:291" x14ac:dyDescent="0.2">
      <c r="KE12154" s="69"/>
    </row>
    <row r="12170" spans="291:291" x14ac:dyDescent="0.2">
      <c r="KE12170" s="69"/>
    </row>
    <row r="12172" spans="291:291" x14ac:dyDescent="0.2">
      <c r="KE12172" s="69"/>
    </row>
    <row r="12186" spans="291:291" x14ac:dyDescent="0.2">
      <c r="KE12186" s="69"/>
    </row>
    <row r="12187" spans="291:291" x14ac:dyDescent="0.2">
      <c r="KE12187" s="69"/>
    </row>
    <row r="12199" spans="291:291" x14ac:dyDescent="0.2">
      <c r="KE12199" s="69"/>
    </row>
    <row r="12201" spans="291:291" x14ac:dyDescent="0.2">
      <c r="KE12201" s="69"/>
    </row>
    <row r="12205" spans="291:291" x14ac:dyDescent="0.2">
      <c r="KE12205" s="69"/>
    </row>
    <row r="12209" spans="291:291" x14ac:dyDescent="0.2">
      <c r="KE12209" s="69"/>
    </row>
    <row r="12215" spans="291:291" x14ac:dyDescent="0.2">
      <c r="KE12215" s="69"/>
    </row>
    <row r="12276" spans="291:291" x14ac:dyDescent="0.2">
      <c r="KE12276" s="69"/>
    </row>
    <row r="12310" spans="291:291" x14ac:dyDescent="0.2">
      <c r="KE12310" s="69"/>
    </row>
    <row r="12311" spans="291:291" x14ac:dyDescent="0.2">
      <c r="KE12311" s="69"/>
    </row>
    <row r="12312" spans="291:291" x14ac:dyDescent="0.2">
      <c r="KE12312" s="69"/>
    </row>
    <row r="12313" spans="291:291" x14ac:dyDescent="0.2">
      <c r="KE12313" s="69"/>
    </row>
    <row r="12314" spans="291:291" x14ac:dyDescent="0.2">
      <c r="KE12314" s="69"/>
    </row>
    <row r="12364" spans="291:291" x14ac:dyDescent="0.2">
      <c r="KE12364" s="69"/>
    </row>
    <row r="12365" spans="291:291" x14ac:dyDescent="0.2">
      <c r="KE12365" s="69"/>
    </row>
    <row r="12366" spans="291:291" x14ac:dyDescent="0.2">
      <c r="KE12366" s="69"/>
    </row>
    <row r="12367" spans="291:291" x14ac:dyDescent="0.2">
      <c r="KE12367" s="69"/>
    </row>
    <row r="12368" spans="291:291" x14ac:dyDescent="0.2">
      <c r="KE12368" s="69"/>
    </row>
    <row r="12369" spans="291:291" x14ac:dyDescent="0.2">
      <c r="KE12369" s="69"/>
    </row>
    <row r="12370" spans="291:291" x14ac:dyDescent="0.2">
      <c r="KE12370" s="69"/>
    </row>
    <row r="12371" spans="291:291" x14ac:dyDescent="0.2">
      <c r="KE12371" s="69"/>
    </row>
    <row r="12372" spans="291:291" x14ac:dyDescent="0.2">
      <c r="KE12372" s="69"/>
    </row>
    <row r="12373" spans="291:291" x14ac:dyDescent="0.2">
      <c r="KE12373" s="69"/>
    </row>
    <row r="12374" spans="291:291" x14ac:dyDescent="0.2">
      <c r="KE12374" s="69"/>
    </row>
    <row r="12375" spans="291:291" x14ac:dyDescent="0.2">
      <c r="KE12375" s="69"/>
    </row>
    <row r="12376" spans="291:291" x14ac:dyDescent="0.2">
      <c r="KE12376" s="69"/>
    </row>
    <row r="12377" spans="291:291" x14ac:dyDescent="0.2">
      <c r="KE12377" s="69"/>
    </row>
    <row r="12378" spans="291:291" x14ac:dyDescent="0.2">
      <c r="KE12378" s="69"/>
    </row>
    <row r="12379" spans="291:291" x14ac:dyDescent="0.2">
      <c r="KE12379" s="69"/>
    </row>
    <row r="12380" spans="291:291" x14ac:dyDescent="0.2">
      <c r="KE12380" s="69"/>
    </row>
    <row r="12381" spans="291:291" x14ac:dyDescent="0.2">
      <c r="KE12381" s="69"/>
    </row>
    <row r="12382" spans="291:291" x14ac:dyDescent="0.2">
      <c r="KE12382" s="69"/>
    </row>
    <row r="12383" spans="291:291" x14ac:dyDescent="0.2">
      <c r="KE12383" s="69"/>
    </row>
    <row r="12384" spans="291:291" x14ac:dyDescent="0.2">
      <c r="KE12384" s="69"/>
    </row>
    <row r="12385" spans="291:291" x14ac:dyDescent="0.2">
      <c r="KE12385" s="69"/>
    </row>
    <row r="12386" spans="291:291" x14ac:dyDescent="0.2">
      <c r="KE12386" s="69"/>
    </row>
    <row r="12387" spans="291:291" x14ac:dyDescent="0.2">
      <c r="KE12387" s="69"/>
    </row>
    <row r="12388" spans="291:291" x14ac:dyDescent="0.2">
      <c r="KE12388" s="69"/>
    </row>
    <row r="12406" spans="291:291" x14ac:dyDescent="0.2">
      <c r="KE12406" s="69"/>
    </row>
    <row r="12417" spans="291:291" x14ac:dyDescent="0.2">
      <c r="KE12417" s="69"/>
    </row>
    <row r="12436" spans="291:291" x14ac:dyDescent="0.2">
      <c r="KE12436" s="69"/>
    </row>
    <row r="12438" spans="291:291" x14ac:dyDescent="0.2">
      <c r="KE12438" s="69"/>
    </row>
    <row r="12442" spans="291:291" x14ac:dyDescent="0.2">
      <c r="KE12442" s="69"/>
    </row>
    <row r="12444" spans="291:291" x14ac:dyDescent="0.2">
      <c r="KE12444" s="69"/>
    </row>
    <row r="12495" spans="291:291" x14ac:dyDescent="0.2">
      <c r="KE12495" s="69"/>
    </row>
    <row r="12521" spans="291:291" x14ac:dyDescent="0.2">
      <c r="KE12521" s="69"/>
    </row>
    <row r="12550" spans="291:291" x14ac:dyDescent="0.2">
      <c r="KE12550" s="69"/>
    </row>
    <row r="12566" spans="291:291" x14ac:dyDescent="0.2">
      <c r="KE12566" s="69"/>
    </row>
    <row r="12570" spans="291:291" x14ac:dyDescent="0.2">
      <c r="KE12570" s="69"/>
    </row>
    <row r="12591" spans="291:291" x14ac:dyDescent="0.2">
      <c r="KE12591" s="69"/>
    </row>
    <row r="12593" spans="291:291" x14ac:dyDescent="0.2">
      <c r="KE12593" s="69"/>
    </row>
    <row r="12597" spans="291:291" x14ac:dyDescent="0.2">
      <c r="KE12597" s="69"/>
    </row>
    <row r="12598" spans="291:291" x14ac:dyDescent="0.2">
      <c r="KE12598" s="69"/>
    </row>
    <row r="12599" spans="291:291" x14ac:dyDescent="0.2">
      <c r="KE12599" s="69"/>
    </row>
    <row r="12601" spans="291:291" x14ac:dyDescent="0.2">
      <c r="KE12601" s="69"/>
    </row>
    <row r="12602" spans="291:291" x14ac:dyDescent="0.2">
      <c r="KE12602" s="69"/>
    </row>
    <row r="12603" spans="291:291" x14ac:dyDescent="0.2">
      <c r="KE12603" s="69"/>
    </row>
    <row r="12606" spans="291:291" x14ac:dyDescent="0.2">
      <c r="KE12606" s="69"/>
    </row>
    <row r="12607" spans="291:291" x14ac:dyDescent="0.2">
      <c r="KE12607" s="69"/>
    </row>
    <row r="12609" spans="291:291" x14ac:dyDescent="0.2">
      <c r="KE12609" s="69"/>
    </row>
    <row r="12610" spans="291:291" x14ac:dyDescent="0.2">
      <c r="KE12610" s="69"/>
    </row>
    <row r="12616" spans="291:291" x14ac:dyDescent="0.2">
      <c r="KE12616" s="69"/>
    </row>
    <row r="12633" spans="291:291" x14ac:dyDescent="0.2">
      <c r="KE12633" s="69"/>
    </row>
    <row r="12634" spans="291:291" x14ac:dyDescent="0.2">
      <c r="KE12634" s="69"/>
    </row>
    <row r="12635" spans="291:291" x14ac:dyDescent="0.2">
      <c r="KE12635" s="69"/>
    </row>
    <row r="12636" spans="291:291" x14ac:dyDescent="0.2">
      <c r="KE12636" s="69"/>
    </row>
    <row r="12637" spans="291:291" x14ac:dyDescent="0.2">
      <c r="KE12637" s="69"/>
    </row>
    <row r="12638" spans="291:291" x14ac:dyDescent="0.2">
      <c r="KE12638" s="69"/>
    </row>
    <row r="12639" spans="291:291" x14ac:dyDescent="0.2">
      <c r="KE12639" s="69"/>
    </row>
    <row r="12642" spans="291:291" x14ac:dyDescent="0.2">
      <c r="KE12642" s="69"/>
    </row>
    <row r="12643" spans="291:291" x14ac:dyDescent="0.2">
      <c r="KE12643" s="69"/>
    </row>
    <row r="12644" spans="291:291" x14ac:dyDescent="0.2">
      <c r="KE12644" s="69"/>
    </row>
    <row r="12645" spans="291:291" x14ac:dyDescent="0.2">
      <c r="KE12645" s="69"/>
    </row>
    <row r="12648" spans="291:291" x14ac:dyDescent="0.2">
      <c r="KE12648" s="69"/>
    </row>
    <row r="12649" spans="291:291" x14ac:dyDescent="0.2">
      <c r="KE12649" s="69"/>
    </row>
    <row r="12650" spans="291:291" x14ac:dyDescent="0.2">
      <c r="KE12650" s="69"/>
    </row>
    <row r="12653" spans="291:291" x14ac:dyDescent="0.2">
      <c r="KE12653" s="69"/>
    </row>
    <row r="12654" spans="291:291" x14ac:dyDescent="0.2">
      <c r="KE12654" s="69"/>
    </row>
    <row r="12655" spans="291:291" x14ac:dyDescent="0.2">
      <c r="KE12655" s="69"/>
    </row>
    <row r="12656" spans="291:291" x14ac:dyDescent="0.2">
      <c r="KE12656" s="69"/>
    </row>
    <row r="12657" spans="291:291" x14ac:dyDescent="0.2">
      <c r="KE12657" s="69"/>
    </row>
    <row r="12658" spans="291:291" x14ac:dyDescent="0.2">
      <c r="KE12658" s="69"/>
    </row>
    <row r="12661" spans="291:291" x14ac:dyDescent="0.2">
      <c r="KE12661" s="69"/>
    </row>
    <row r="12662" spans="291:291" x14ac:dyDescent="0.2">
      <c r="KE12662" s="69"/>
    </row>
    <row r="12663" spans="291:291" x14ac:dyDescent="0.2">
      <c r="KE12663" s="69"/>
    </row>
    <row r="12664" spans="291:291" x14ac:dyDescent="0.2">
      <c r="KE12664" s="69"/>
    </row>
    <row r="12665" spans="291:291" x14ac:dyDescent="0.2">
      <c r="KE12665" s="69"/>
    </row>
    <row r="12666" spans="291:291" x14ac:dyDescent="0.2">
      <c r="KE12666" s="69"/>
    </row>
    <row r="12667" spans="291:291" x14ac:dyDescent="0.2">
      <c r="KE12667" s="69"/>
    </row>
    <row r="12668" spans="291:291" x14ac:dyDescent="0.2">
      <c r="KE12668" s="69"/>
    </row>
    <row r="12669" spans="291:291" x14ac:dyDescent="0.2">
      <c r="KE12669" s="69"/>
    </row>
    <row r="12670" spans="291:291" x14ac:dyDescent="0.2">
      <c r="KE12670" s="69"/>
    </row>
    <row r="12671" spans="291:291" x14ac:dyDescent="0.2">
      <c r="KE12671" s="69"/>
    </row>
    <row r="12674" spans="291:291" x14ac:dyDescent="0.2">
      <c r="KE12674" s="69"/>
    </row>
    <row r="12675" spans="291:291" x14ac:dyDescent="0.2">
      <c r="KE12675" s="69"/>
    </row>
    <row r="12676" spans="291:291" x14ac:dyDescent="0.2">
      <c r="KE12676" s="69"/>
    </row>
    <row r="12679" spans="291:291" x14ac:dyDescent="0.2">
      <c r="KE12679" s="69"/>
    </row>
    <row r="12697" spans="291:291" x14ac:dyDescent="0.2">
      <c r="KE12697" s="69"/>
    </row>
    <row r="12700" spans="291:291" x14ac:dyDescent="0.2">
      <c r="KE12700" s="69"/>
    </row>
    <row r="12706" spans="291:291" x14ac:dyDescent="0.2">
      <c r="KE12706" s="69"/>
    </row>
    <row r="12742" spans="291:291" x14ac:dyDescent="0.2">
      <c r="KE12742" s="69"/>
    </row>
    <row r="12780" spans="291:291" x14ac:dyDescent="0.2">
      <c r="KE12780" s="69"/>
    </row>
    <row r="12811" spans="291:291" x14ac:dyDescent="0.2">
      <c r="KE12811" s="69"/>
    </row>
    <row r="12849" spans="291:291" x14ac:dyDescent="0.2">
      <c r="KE12849" s="69"/>
    </row>
    <row r="12864" spans="291:291" x14ac:dyDescent="0.2">
      <c r="KE12864" s="69"/>
    </row>
    <row r="12897" spans="291:291" x14ac:dyDescent="0.2">
      <c r="KE12897" s="69"/>
    </row>
    <row r="12898" spans="291:291" x14ac:dyDescent="0.2">
      <c r="KE12898" s="69"/>
    </row>
    <row r="12900" spans="291:291" x14ac:dyDescent="0.2">
      <c r="KE12900" s="69"/>
    </row>
    <row r="12902" spans="291:291" x14ac:dyDescent="0.2">
      <c r="KE12902" s="69"/>
    </row>
    <row r="12917" spans="291:291" x14ac:dyDescent="0.2">
      <c r="KE12917" s="69"/>
    </row>
    <row r="12928" spans="291:291" x14ac:dyDescent="0.2">
      <c r="KE12928" s="69"/>
    </row>
    <row r="12946" spans="291:291" x14ac:dyDescent="0.2">
      <c r="KE12946" s="69"/>
    </row>
    <row r="13015" spans="291:291" x14ac:dyDescent="0.2">
      <c r="KE13015" s="69"/>
    </row>
    <row r="13016" spans="291:291" x14ac:dyDescent="0.2">
      <c r="KE13016" s="69"/>
    </row>
    <row r="13023" spans="291:291" x14ac:dyDescent="0.2">
      <c r="KE13023" s="69"/>
    </row>
    <row r="13026" spans="291:291" x14ac:dyDescent="0.2">
      <c r="KE13026" s="69"/>
    </row>
    <row r="13035" spans="291:291" x14ac:dyDescent="0.2">
      <c r="KE13035" s="69"/>
    </row>
    <row r="13036" spans="291:291" x14ac:dyDescent="0.2">
      <c r="KE13036" s="69"/>
    </row>
    <row r="13042" spans="291:291" x14ac:dyDescent="0.2">
      <c r="KE13042" s="69"/>
    </row>
    <row r="13052" spans="291:291" x14ac:dyDescent="0.2">
      <c r="KE13052" s="69"/>
    </row>
    <row r="13054" spans="291:291" x14ac:dyDescent="0.2">
      <c r="KE13054" s="69"/>
    </row>
    <row r="13067" spans="291:291" x14ac:dyDescent="0.2">
      <c r="KE13067" s="69"/>
    </row>
    <row r="13095" spans="291:291" x14ac:dyDescent="0.2">
      <c r="KE13095" s="69"/>
    </row>
    <row r="13115" spans="291:291" x14ac:dyDescent="0.2">
      <c r="KE13115" s="69"/>
    </row>
    <row r="13134" spans="291:291" x14ac:dyDescent="0.2">
      <c r="KE13134" s="69"/>
    </row>
    <row r="13136" spans="291:291" x14ac:dyDescent="0.2">
      <c r="KE13136" s="69"/>
    </row>
    <row r="13145" spans="291:291" x14ac:dyDescent="0.2">
      <c r="KE13145" s="69"/>
    </row>
    <row r="13156" spans="291:291" x14ac:dyDescent="0.2">
      <c r="KE13156" s="69"/>
    </row>
    <row r="13220" spans="291:291" x14ac:dyDescent="0.2">
      <c r="KE13220" s="69"/>
    </row>
    <row r="13223" spans="291:291" x14ac:dyDescent="0.2">
      <c r="KE13223" s="69"/>
    </row>
    <row r="13267" spans="291:291" x14ac:dyDescent="0.2">
      <c r="KE13267" s="69"/>
    </row>
    <row r="13269" spans="291:291" x14ac:dyDescent="0.2">
      <c r="KE13269" s="69"/>
    </row>
    <row r="13271" spans="291:291" x14ac:dyDescent="0.2">
      <c r="KE13271" s="69"/>
    </row>
    <row r="13315" spans="291:291" x14ac:dyDescent="0.2">
      <c r="KE13315" s="69"/>
    </row>
    <row r="13335" spans="291:291" x14ac:dyDescent="0.2">
      <c r="KE13335" s="69"/>
    </row>
    <row r="13336" spans="291:291" x14ac:dyDescent="0.2">
      <c r="KE13336" s="69"/>
    </row>
    <row r="13339" spans="291:291" x14ac:dyDescent="0.2">
      <c r="KE13339" s="69"/>
    </row>
    <row r="13340" spans="291:291" x14ac:dyDescent="0.2">
      <c r="KE13340" s="69"/>
    </row>
    <row r="13341" spans="291:291" x14ac:dyDescent="0.2">
      <c r="KE13341" s="69"/>
    </row>
    <row r="13342" spans="291:291" x14ac:dyDescent="0.2">
      <c r="KE13342" s="69"/>
    </row>
    <row r="13343" spans="291:291" x14ac:dyDescent="0.2">
      <c r="KE13343" s="69"/>
    </row>
    <row r="13344" spans="291:291" x14ac:dyDescent="0.2">
      <c r="KE13344" s="69"/>
    </row>
    <row r="13345" spans="291:291" x14ac:dyDescent="0.2">
      <c r="KE13345" s="69"/>
    </row>
    <row r="13346" spans="291:291" x14ac:dyDescent="0.2">
      <c r="KE13346" s="69"/>
    </row>
    <row r="13347" spans="291:291" x14ac:dyDescent="0.2">
      <c r="KE13347" s="69"/>
    </row>
    <row r="13348" spans="291:291" x14ac:dyDescent="0.2">
      <c r="KE13348" s="69"/>
    </row>
    <row r="13349" spans="291:291" x14ac:dyDescent="0.2">
      <c r="KE13349" s="69"/>
    </row>
    <row r="13350" spans="291:291" x14ac:dyDescent="0.2">
      <c r="KE13350" s="69"/>
    </row>
    <row r="13351" spans="291:291" x14ac:dyDescent="0.2">
      <c r="KE13351" s="69"/>
    </row>
    <row r="13356" spans="291:291" x14ac:dyDescent="0.2">
      <c r="KE13356" s="69"/>
    </row>
    <row r="13372" spans="291:291" x14ac:dyDescent="0.2">
      <c r="KE13372" s="69"/>
    </row>
    <row r="13379" spans="291:291" x14ac:dyDescent="0.2">
      <c r="KE13379" s="69"/>
    </row>
    <row r="13381" spans="291:291" x14ac:dyDescent="0.2">
      <c r="KE13381" s="69"/>
    </row>
    <row r="13383" spans="291:291" x14ac:dyDescent="0.2">
      <c r="KE13383" s="69"/>
    </row>
    <row r="13386" spans="291:291" x14ac:dyDescent="0.2">
      <c r="KE13386" s="69"/>
    </row>
    <row r="13404" spans="291:291" x14ac:dyDescent="0.2">
      <c r="KE13404" s="69"/>
    </row>
    <row r="13405" spans="291:291" x14ac:dyDescent="0.2">
      <c r="KE13405" s="69"/>
    </row>
    <row r="13406" spans="291:291" x14ac:dyDescent="0.2">
      <c r="KE13406" s="69"/>
    </row>
    <row r="13407" spans="291:291" x14ac:dyDescent="0.2">
      <c r="KE13407" s="69"/>
    </row>
    <row r="13408" spans="291:291" x14ac:dyDescent="0.2">
      <c r="KE13408" s="69"/>
    </row>
    <row r="13409" spans="291:291" x14ac:dyDescent="0.2">
      <c r="KE13409" s="69"/>
    </row>
    <row r="13410" spans="291:291" x14ac:dyDescent="0.2">
      <c r="KE13410" s="69"/>
    </row>
    <row r="13411" spans="291:291" x14ac:dyDescent="0.2">
      <c r="KE13411" s="69"/>
    </row>
    <row r="13416" spans="291:291" x14ac:dyDescent="0.2">
      <c r="KE13416" s="69"/>
    </row>
    <row r="13417" spans="291:291" x14ac:dyDescent="0.2">
      <c r="KE13417" s="69"/>
    </row>
    <row r="13418" spans="291:291" x14ac:dyDescent="0.2">
      <c r="KE13418" s="69"/>
    </row>
    <row r="13419" spans="291:291" x14ac:dyDescent="0.2">
      <c r="KE13419" s="69"/>
    </row>
    <row r="13421" spans="291:291" x14ac:dyDescent="0.2">
      <c r="KE13421" s="69"/>
    </row>
    <row r="13422" spans="291:291" x14ac:dyDescent="0.2">
      <c r="KE13422" s="69"/>
    </row>
    <row r="13423" spans="291:291" x14ac:dyDescent="0.2">
      <c r="KE13423" s="69"/>
    </row>
    <row r="13457" spans="291:291" x14ac:dyDescent="0.2">
      <c r="KE13457" s="69"/>
    </row>
    <row r="13467" spans="291:291" x14ac:dyDescent="0.2">
      <c r="KE13467" s="69"/>
    </row>
    <row r="13476" spans="291:291" x14ac:dyDescent="0.2">
      <c r="KE13476" s="69"/>
    </row>
    <row r="13480" spans="291:291" x14ac:dyDescent="0.2">
      <c r="KE13480" s="69"/>
    </row>
    <row r="13481" spans="291:291" x14ac:dyDescent="0.2">
      <c r="KE13481" s="69"/>
    </row>
    <row r="13482" spans="291:291" x14ac:dyDescent="0.2">
      <c r="KE13482" s="69"/>
    </row>
    <row r="13486" spans="291:291" x14ac:dyDescent="0.2">
      <c r="KE13486" s="69"/>
    </row>
    <row r="13495" spans="291:291" x14ac:dyDescent="0.2">
      <c r="KE13495" s="69"/>
    </row>
    <row r="13499" spans="291:291" x14ac:dyDescent="0.2">
      <c r="KE13499" s="69"/>
    </row>
    <row r="13510" spans="291:291" x14ac:dyDescent="0.2">
      <c r="KE13510" s="69"/>
    </row>
    <row r="13517" spans="291:291" x14ac:dyDescent="0.2">
      <c r="KE13517" s="69"/>
    </row>
    <row r="13519" spans="291:291" x14ac:dyDescent="0.2">
      <c r="KE13519" s="69"/>
    </row>
    <row r="13532" spans="291:291" x14ac:dyDescent="0.2">
      <c r="KE13532" s="69"/>
    </row>
    <row r="13533" spans="291:291" x14ac:dyDescent="0.2">
      <c r="KE13533" s="69"/>
    </row>
    <row r="13534" spans="291:291" x14ac:dyDescent="0.2">
      <c r="KE13534" s="69"/>
    </row>
    <row r="13536" spans="291:291" x14ac:dyDescent="0.2">
      <c r="KE13536" s="69"/>
    </row>
    <row r="13545" spans="291:291" x14ac:dyDescent="0.2">
      <c r="KE13545" s="69"/>
    </row>
    <row r="13555" spans="291:291" x14ac:dyDescent="0.2">
      <c r="KE13555" s="69"/>
    </row>
    <row r="13557" spans="291:291" x14ac:dyDescent="0.2">
      <c r="KE13557" s="69"/>
    </row>
    <row r="13571" spans="291:291" x14ac:dyDescent="0.2">
      <c r="KE13571" s="69"/>
    </row>
    <row r="13591" spans="291:291" x14ac:dyDescent="0.2">
      <c r="KE13591" s="69"/>
    </row>
    <row r="13640" spans="291:291" x14ac:dyDescent="0.2">
      <c r="KE13640" s="69"/>
    </row>
    <row r="13647" spans="291:291" x14ac:dyDescent="0.2">
      <c r="KE13647" s="69"/>
    </row>
    <row r="13653" spans="291:291" x14ac:dyDescent="0.2">
      <c r="KE13653" s="69"/>
    </row>
    <row r="13655" spans="291:291" x14ac:dyDescent="0.2">
      <c r="KE13655" s="69"/>
    </row>
    <row r="13664" spans="291:291" x14ac:dyDescent="0.2">
      <c r="KE13664" s="69"/>
    </row>
    <row r="13673" spans="291:291" x14ac:dyDescent="0.2">
      <c r="KE13673" s="69"/>
    </row>
    <row r="13675" spans="291:291" x14ac:dyDescent="0.2">
      <c r="KE13675" s="69"/>
    </row>
    <row r="13720" spans="291:291" x14ac:dyDescent="0.2">
      <c r="KE13720" s="69"/>
    </row>
    <row r="13726" spans="291:291" x14ac:dyDescent="0.2">
      <c r="KE13726" s="69"/>
    </row>
    <row r="13728" spans="291:291" x14ac:dyDescent="0.2">
      <c r="KE13728" s="69"/>
    </row>
    <row r="13757" spans="291:291" x14ac:dyDescent="0.2">
      <c r="KE13757" s="69"/>
    </row>
    <row r="13758" spans="291:291" x14ac:dyDescent="0.2">
      <c r="KE13758" s="69"/>
    </row>
    <row r="13759" spans="291:291" x14ac:dyDescent="0.2">
      <c r="KE13759" s="69"/>
    </row>
    <row r="13770" spans="291:291" x14ac:dyDescent="0.2">
      <c r="KE13770" s="69"/>
    </row>
    <row r="13771" spans="291:291" x14ac:dyDescent="0.2">
      <c r="KE13771" s="69"/>
    </row>
    <row r="13772" spans="291:291" x14ac:dyDescent="0.2">
      <c r="KE13772" s="69"/>
    </row>
    <row r="13773" spans="291:291" x14ac:dyDescent="0.2">
      <c r="KE13773" s="69"/>
    </row>
    <row r="13777" spans="291:291" x14ac:dyDescent="0.2">
      <c r="KE13777" s="69"/>
    </row>
    <row r="13781" spans="291:291" x14ac:dyDescent="0.2">
      <c r="KE13781" s="69"/>
    </row>
    <row r="13787" spans="291:291" x14ac:dyDescent="0.2">
      <c r="KE13787" s="69"/>
    </row>
    <row r="13807" spans="291:291" x14ac:dyDescent="0.2">
      <c r="KE13807" s="69"/>
    </row>
    <row r="13906" spans="291:291" x14ac:dyDescent="0.2">
      <c r="KE13906" s="69"/>
    </row>
    <row r="13937" spans="291:291" x14ac:dyDescent="0.2">
      <c r="KE13937" s="69"/>
    </row>
    <row r="13957" spans="291:291" x14ac:dyDescent="0.2">
      <c r="KE13957" s="69"/>
    </row>
    <row r="13989" spans="291:291" x14ac:dyDescent="0.2">
      <c r="KE13989" s="69"/>
    </row>
    <row r="14026" spans="291:291" x14ac:dyDescent="0.2">
      <c r="KE14026" s="69"/>
    </row>
    <row r="14036" spans="291:291" x14ac:dyDescent="0.2">
      <c r="KE14036" s="69"/>
    </row>
    <row r="14062" spans="291:291" x14ac:dyDescent="0.2">
      <c r="KE14062" s="69"/>
    </row>
    <row r="14066" spans="291:291" x14ac:dyDescent="0.2">
      <c r="KE14066" s="69"/>
    </row>
    <row r="14067" spans="291:291" x14ac:dyDescent="0.2">
      <c r="KE14067" s="69"/>
    </row>
    <row r="14068" spans="291:291" x14ac:dyDescent="0.2">
      <c r="KE14068" s="69"/>
    </row>
    <row r="14069" spans="291:291" x14ac:dyDescent="0.2">
      <c r="KE14069" s="69"/>
    </row>
    <row r="14070" spans="291:291" x14ac:dyDescent="0.2">
      <c r="KE14070" s="69"/>
    </row>
    <row r="14071" spans="291:291" x14ac:dyDescent="0.2">
      <c r="KE14071" s="69"/>
    </row>
    <row r="14072" spans="291:291" x14ac:dyDescent="0.2">
      <c r="KE14072" s="69"/>
    </row>
    <row r="14073" spans="291:291" x14ac:dyDescent="0.2">
      <c r="KE14073" s="69"/>
    </row>
    <row r="14074" spans="291:291" x14ac:dyDescent="0.2">
      <c r="KE14074" s="69"/>
    </row>
    <row r="14075" spans="291:291" x14ac:dyDescent="0.2">
      <c r="KE14075" s="69"/>
    </row>
    <row r="14079" spans="291:291" x14ac:dyDescent="0.2">
      <c r="KE14079" s="69"/>
    </row>
    <row r="14080" spans="291:291" x14ac:dyDescent="0.2">
      <c r="KE14080" s="69"/>
    </row>
    <row r="14081" spans="291:291" x14ac:dyDescent="0.2">
      <c r="KE14081" s="69"/>
    </row>
    <row r="14082" spans="291:291" x14ac:dyDescent="0.2">
      <c r="KE14082" s="69"/>
    </row>
    <row r="14086" spans="291:291" x14ac:dyDescent="0.2">
      <c r="KE14086" s="69"/>
    </row>
    <row r="14121" spans="291:291" x14ac:dyDescent="0.2">
      <c r="KE14121" s="69"/>
    </row>
    <row r="14127" spans="291:291" x14ac:dyDescent="0.2">
      <c r="KE14127" s="69"/>
    </row>
    <row r="14129" spans="291:291" x14ac:dyDescent="0.2">
      <c r="KE14129" s="69"/>
    </row>
    <row r="14184" spans="291:291" x14ac:dyDescent="0.2">
      <c r="KE14184" s="69"/>
    </row>
    <row r="14194" spans="291:291" x14ac:dyDescent="0.2">
      <c r="KE14194" s="69"/>
    </row>
    <row r="14212" spans="291:291" x14ac:dyDescent="0.2">
      <c r="KE14212" s="69"/>
    </row>
    <row r="14241" spans="291:291" x14ac:dyDescent="0.2">
      <c r="KE14241" s="69"/>
    </row>
    <row r="14252" spans="291:291" x14ac:dyDescent="0.2">
      <c r="KE14252" s="69"/>
    </row>
    <row r="14266" spans="291:291" x14ac:dyDescent="0.2">
      <c r="KE14266" s="69"/>
    </row>
    <row r="14267" spans="291:291" x14ac:dyDescent="0.2">
      <c r="KE14267" s="69"/>
    </row>
    <row r="14268" spans="291:291" x14ac:dyDescent="0.2">
      <c r="KE14268" s="69"/>
    </row>
    <row r="14271" spans="291:291" x14ac:dyDescent="0.2">
      <c r="KE14271" s="69"/>
    </row>
    <row r="14272" spans="291:291" x14ac:dyDescent="0.2">
      <c r="KE14272" s="69"/>
    </row>
    <row r="14275" spans="291:291" x14ac:dyDescent="0.2">
      <c r="KE14275" s="69"/>
    </row>
    <row r="14276" spans="291:291" x14ac:dyDescent="0.2">
      <c r="KE14276" s="69"/>
    </row>
    <row r="14277" spans="291:291" x14ac:dyDescent="0.2">
      <c r="KE14277" s="69"/>
    </row>
    <row r="14279" spans="291:291" x14ac:dyDescent="0.2">
      <c r="KE14279" s="69"/>
    </row>
    <row r="14282" spans="291:291" x14ac:dyDescent="0.2">
      <c r="KE14282" s="69"/>
    </row>
    <row r="14283" spans="291:291" x14ac:dyDescent="0.2">
      <c r="KE14283" s="69"/>
    </row>
    <row r="14284" spans="291:291" x14ac:dyDescent="0.2">
      <c r="KE14284" s="69"/>
    </row>
    <row r="14287" spans="291:291" x14ac:dyDescent="0.2">
      <c r="KE14287" s="69"/>
    </row>
    <row r="14288" spans="291:291" x14ac:dyDescent="0.2">
      <c r="KE14288" s="69"/>
    </row>
    <row r="14289" spans="291:291" x14ac:dyDescent="0.2">
      <c r="KE14289" s="69"/>
    </row>
    <row r="14292" spans="291:291" x14ac:dyDescent="0.2">
      <c r="KE14292" s="69"/>
    </row>
    <row r="14293" spans="291:291" x14ac:dyDescent="0.2">
      <c r="KE14293" s="69"/>
    </row>
    <row r="14294" spans="291:291" x14ac:dyDescent="0.2">
      <c r="KE14294" s="69"/>
    </row>
    <row r="14295" spans="291:291" x14ac:dyDescent="0.2">
      <c r="KE14295" s="69"/>
    </row>
    <row r="14296" spans="291:291" x14ac:dyDescent="0.2">
      <c r="KE14296" s="69"/>
    </row>
    <row r="14301" spans="291:291" x14ac:dyDescent="0.2">
      <c r="KE14301" s="69"/>
    </row>
    <row r="14302" spans="291:291" x14ac:dyDescent="0.2">
      <c r="KE14302" s="69"/>
    </row>
    <row r="14304" spans="291:291" x14ac:dyDescent="0.2">
      <c r="KE14304" s="69"/>
    </row>
    <row r="14306" spans="291:291" x14ac:dyDescent="0.2">
      <c r="KE14306" s="69"/>
    </row>
    <row r="14307" spans="291:291" x14ac:dyDescent="0.2">
      <c r="KE14307" s="69"/>
    </row>
    <row r="14312" spans="291:291" x14ac:dyDescent="0.2">
      <c r="KE14312" s="69"/>
    </row>
    <row r="14313" spans="291:291" x14ac:dyDescent="0.2">
      <c r="KE14313" s="69"/>
    </row>
    <row r="14314" spans="291:291" x14ac:dyDescent="0.2">
      <c r="KE14314" s="69"/>
    </row>
    <row r="14316" spans="291:291" x14ac:dyDescent="0.2">
      <c r="KE14316" s="69"/>
    </row>
    <row r="14317" spans="291:291" x14ac:dyDescent="0.2">
      <c r="KE14317" s="69"/>
    </row>
    <row r="14318" spans="291:291" x14ac:dyDescent="0.2">
      <c r="KE14318" s="69"/>
    </row>
    <row r="14319" spans="291:291" x14ac:dyDescent="0.2">
      <c r="KE14319" s="69"/>
    </row>
    <row r="14320" spans="291:291" x14ac:dyDescent="0.2">
      <c r="KE14320" s="69"/>
    </row>
    <row r="14321" spans="291:291" x14ac:dyDescent="0.2">
      <c r="KE14321" s="69"/>
    </row>
    <row r="14322" spans="291:291" x14ac:dyDescent="0.2">
      <c r="KE14322" s="69"/>
    </row>
    <row r="14323" spans="291:291" x14ac:dyDescent="0.2">
      <c r="KE14323" s="69"/>
    </row>
    <row r="14324" spans="291:291" x14ac:dyDescent="0.2">
      <c r="KE14324" s="69"/>
    </row>
    <row r="14325" spans="291:291" x14ac:dyDescent="0.2">
      <c r="KE14325" s="69"/>
    </row>
    <row r="14326" spans="291:291" x14ac:dyDescent="0.2">
      <c r="KE14326" s="69"/>
    </row>
    <row r="14327" spans="291:291" x14ac:dyDescent="0.2">
      <c r="KE14327" s="69"/>
    </row>
    <row r="14328" spans="291:291" x14ac:dyDescent="0.2">
      <c r="KE14328" s="69"/>
    </row>
    <row r="14329" spans="291:291" x14ac:dyDescent="0.2">
      <c r="KE14329" s="69"/>
    </row>
    <row r="14330" spans="291:291" x14ac:dyDescent="0.2">
      <c r="KE14330" s="69"/>
    </row>
    <row r="14331" spans="291:291" x14ac:dyDescent="0.2">
      <c r="KE14331" s="69"/>
    </row>
    <row r="14332" spans="291:291" x14ac:dyDescent="0.2">
      <c r="KE14332" s="69"/>
    </row>
    <row r="14333" spans="291:291" x14ac:dyDescent="0.2">
      <c r="KE14333" s="69"/>
    </row>
    <row r="14334" spans="291:291" x14ac:dyDescent="0.2">
      <c r="KE14334" s="69"/>
    </row>
    <row r="14335" spans="291:291" x14ac:dyDescent="0.2">
      <c r="KE14335" s="69"/>
    </row>
    <row r="14336" spans="291:291" x14ac:dyDescent="0.2">
      <c r="KE14336" s="69"/>
    </row>
    <row r="14337" spans="291:291" x14ac:dyDescent="0.2">
      <c r="KE14337" s="69"/>
    </row>
    <row r="14338" spans="291:291" x14ac:dyDescent="0.2">
      <c r="KE14338" s="69"/>
    </row>
    <row r="14357" spans="291:291" x14ac:dyDescent="0.2">
      <c r="KE14357" s="69"/>
    </row>
    <row r="14361" spans="291:291" x14ac:dyDescent="0.2">
      <c r="KE14361" s="69"/>
    </row>
    <row r="14371" spans="291:291" x14ac:dyDescent="0.2">
      <c r="KE14371" s="69"/>
    </row>
    <row r="14375" spans="291:291" x14ac:dyDescent="0.2">
      <c r="KE14375" s="69"/>
    </row>
    <row r="14381" spans="291:291" x14ac:dyDescent="0.2">
      <c r="KE14381" s="69"/>
    </row>
    <row r="14394" spans="291:291" x14ac:dyDescent="0.2">
      <c r="KE14394" s="69"/>
    </row>
    <row r="14396" spans="291:291" x14ac:dyDescent="0.2">
      <c r="KE14396" s="69"/>
    </row>
    <row r="14397" spans="291:291" x14ac:dyDescent="0.2">
      <c r="KE14397" s="69"/>
    </row>
    <row r="14399" spans="291:291" x14ac:dyDescent="0.2">
      <c r="KE14399" s="69"/>
    </row>
    <row r="14443" spans="291:291" x14ac:dyDescent="0.2">
      <c r="KE14443" s="69"/>
    </row>
    <row r="14444" spans="291:291" x14ac:dyDescent="0.2">
      <c r="KE14444" s="69"/>
    </row>
    <row r="14445" spans="291:291" x14ac:dyDescent="0.2">
      <c r="KE14445" s="69"/>
    </row>
    <row r="14446" spans="291:291" x14ac:dyDescent="0.2">
      <c r="KE14446" s="69"/>
    </row>
    <row r="14457" spans="291:291" x14ac:dyDescent="0.2">
      <c r="KE14457" s="69"/>
    </row>
    <row r="14487" spans="291:291" x14ac:dyDescent="0.2">
      <c r="KE14487" s="69"/>
    </row>
    <row r="14491" spans="291:291" x14ac:dyDescent="0.2">
      <c r="KE14491" s="69"/>
    </row>
    <row r="14493" spans="291:291" x14ac:dyDescent="0.2">
      <c r="KE14493" s="69"/>
    </row>
    <row r="14502" spans="291:291" x14ac:dyDescent="0.2">
      <c r="KE14502" s="69"/>
    </row>
    <row r="14503" spans="291:291" x14ac:dyDescent="0.2">
      <c r="KE14503" s="69"/>
    </row>
    <row r="14507" spans="291:291" x14ac:dyDescent="0.2">
      <c r="KE14507" s="69"/>
    </row>
    <row r="14508" spans="291:291" x14ac:dyDescent="0.2">
      <c r="KE14508" s="69"/>
    </row>
    <row r="14509" spans="291:291" x14ac:dyDescent="0.2">
      <c r="KE14509" s="69"/>
    </row>
    <row r="14510" spans="291:291" x14ac:dyDescent="0.2">
      <c r="KE14510" s="69"/>
    </row>
    <row r="14511" spans="291:291" x14ac:dyDescent="0.2">
      <c r="KE14511" s="69"/>
    </row>
    <row r="14512" spans="291:291" x14ac:dyDescent="0.2">
      <c r="KE14512" s="69"/>
    </row>
    <row r="14513" spans="291:291" x14ac:dyDescent="0.2">
      <c r="KE14513" s="69"/>
    </row>
    <row r="14514" spans="291:291" x14ac:dyDescent="0.2">
      <c r="KE14514" s="69"/>
    </row>
    <row r="14515" spans="291:291" x14ac:dyDescent="0.2">
      <c r="KE14515" s="69"/>
    </row>
    <row r="14518" spans="291:291" x14ac:dyDescent="0.2">
      <c r="KE14518" s="69"/>
    </row>
    <row r="14519" spans="291:291" x14ac:dyDescent="0.2">
      <c r="KE14519" s="69"/>
    </row>
    <row r="14521" spans="291:291" x14ac:dyDescent="0.2">
      <c r="KE14521" s="69"/>
    </row>
    <row r="14522" spans="291:291" x14ac:dyDescent="0.2">
      <c r="KE14522" s="69"/>
    </row>
    <row r="14523" spans="291:291" x14ac:dyDescent="0.2">
      <c r="KE14523" s="69"/>
    </row>
    <row r="14526" spans="291:291" x14ac:dyDescent="0.2">
      <c r="KE14526" s="69"/>
    </row>
    <row r="14527" spans="291:291" x14ac:dyDescent="0.2">
      <c r="KE14527" s="69"/>
    </row>
    <row r="14528" spans="291:291" x14ac:dyDescent="0.2">
      <c r="KE14528" s="69"/>
    </row>
    <row r="14529" spans="291:291" x14ac:dyDescent="0.2">
      <c r="KE14529" s="69"/>
    </row>
    <row r="14532" spans="291:291" x14ac:dyDescent="0.2">
      <c r="KE14532" s="69"/>
    </row>
    <row r="14533" spans="291:291" x14ac:dyDescent="0.2">
      <c r="KE14533" s="69"/>
    </row>
    <row r="14534" spans="291:291" x14ac:dyDescent="0.2">
      <c r="KE14534" s="69"/>
    </row>
    <row r="14536" spans="291:291" x14ac:dyDescent="0.2">
      <c r="KE14536" s="69"/>
    </row>
    <row r="14537" spans="291:291" x14ac:dyDescent="0.2">
      <c r="KE14537" s="69"/>
    </row>
    <row r="14538" spans="291:291" x14ac:dyDescent="0.2">
      <c r="KE14538" s="69"/>
    </row>
    <row r="14539" spans="291:291" x14ac:dyDescent="0.2">
      <c r="KE14539" s="69"/>
    </row>
    <row r="14540" spans="291:291" x14ac:dyDescent="0.2">
      <c r="KE14540" s="69"/>
    </row>
    <row r="14541" spans="291:291" x14ac:dyDescent="0.2">
      <c r="KE14541" s="69"/>
    </row>
    <row r="14542" spans="291:291" x14ac:dyDescent="0.2">
      <c r="KE14542" s="69"/>
    </row>
    <row r="14543" spans="291:291" x14ac:dyDescent="0.2">
      <c r="KE14543" s="69"/>
    </row>
    <row r="14544" spans="291:291" x14ac:dyDescent="0.2">
      <c r="KE14544" s="69"/>
    </row>
    <row r="14545" spans="291:291" x14ac:dyDescent="0.2">
      <c r="KE14545" s="69"/>
    </row>
    <row r="14546" spans="291:291" x14ac:dyDescent="0.2">
      <c r="KE14546" s="69"/>
    </row>
    <row r="14547" spans="291:291" x14ac:dyDescent="0.2">
      <c r="KE14547" s="69"/>
    </row>
    <row r="14548" spans="291:291" x14ac:dyDescent="0.2">
      <c r="KE14548" s="69"/>
    </row>
    <row r="14549" spans="291:291" x14ac:dyDescent="0.2">
      <c r="KE14549" s="69"/>
    </row>
    <row r="14551" spans="291:291" x14ac:dyDescent="0.2">
      <c r="KE14551" s="69"/>
    </row>
    <row r="14552" spans="291:291" x14ac:dyDescent="0.2">
      <c r="KE14552" s="69"/>
    </row>
    <row r="14553" spans="291:291" x14ac:dyDescent="0.2">
      <c r="KE14553" s="69"/>
    </row>
    <row r="14554" spans="291:291" x14ac:dyDescent="0.2">
      <c r="KE14554" s="69"/>
    </row>
    <row r="14555" spans="291:291" x14ac:dyDescent="0.2">
      <c r="KE14555" s="69"/>
    </row>
    <row r="14562" spans="291:291" x14ac:dyDescent="0.2">
      <c r="KE14562" s="69"/>
    </row>
    <row r="14566" spans="291:291" x14ac:dyDescent="0.2">
      <c r="KE14566" s="69"/>
    </row>
    <row r="14586" spans="291:291" x14ac:dyDescent="0.2">
      <c r="KE14586" s="69"/>
    </row>
    <row r="14587" spans="291:291" x14ac:dyDescent="0.2">
      <c r="KE14587" s="69"/>
    </row>
    <row r="14597" spans="291:291" x14ac:dyDescent="0.2">
      <c r="KE14597" s="69"/>
    </row>
    <row r="14652" spans="291:291" x14ac:dyDescent="0.2">
      <c r="KE14652" s="69"/>
    </row>
    <row r="14653" spans="291:291" x14ac:dyDescent="0.2">
      <c r="KE14653" s="69"/>
    </row>
    <row r="14686" spans="291:291" x14ac:dyDescent="0.2">
      <c r="KE14686" s="69"/>
    </row>
    <row r="14687" spans="291:291" x14ac:dyDescent="0.2">
      <c r="KE14687" s="69"/>
    </row>
    <row r="14715" spans="291:291" x14ac:dyDescent="0.2">
      <c r="KE14715" s="69"/>
    </row>
    <row r="14730" spans="291:291" x14ac:dyDescent="0.2">
      <c r="KE14730" s="69"/>
    </row>
    <row r="14732" spans="291:291" x14ac:dyDescent="0.2">
      <c r="KE14732" s="69"/>
    </row>
    <row r="14766" spans="291:291" x14ac:dyDescent="0.2">
      <c r="KE14766" s="69"/>
    </row>
    <row r="14767" spans="291:291" x14ac:dyDescent="0.2">
      <c r="KE14767" s="69"/>
    </row>
    <row r="14769" spans="291:291" x14ac:dyDescent="0.2">
      <c r="KE14769" s="69"/>
    </row>
    <row r="14778" spans="291:291" x14ac:dyDescent="0.2">
      <c r="KE14778" s="69"/>
    </row>
    <row r="14781" spans="291:291" x14ac:dyDescent="0.2">
      <c r="KE14781" s="69"/>
    </row>
    <row r="14782" spans="291:291" x14ac:dyDescent="0.2">
      <c r="KE14782" s="69"/>
    </row>
    <row r="14785" spans="291:291" x14ac:dyDescent="0.2">
      <c r="KE14785" s="69"/>
    </row>
    <row r="14786" spans="291:291" x14ac:dyDescent="0.2">
      <c r="KE14786" s="69"/>
    </row>
    <row r="14787" spans="291:291" x14ac:dyDescent="0.2">
      <c r="KE14787" s="69"/>
    </row>
    <row r="14788" spans="291:291" x14ac:dyDescent="0.2">
      <c r="KE14788" s="69"/>
    </row>
    <row r="14791" spans="291:291" x14ac:dyDescent="0.2">
      <c r="KE14791" s="69"/>
    </row>
    <row r="14794" spans="291:291" x14ac:dyDescent="0.2">
      <c r="KE14794" s="69"/>
    </row>
    <row r="14795" spans="291:291" x14ac:dyDescent="0.2">
      <c r="KE14795" s="69"/>
    </row>
    <row r="14798" spans="291:291" x14ac:dyDescent="0.2">
      <c r="KE14798" s="69"/>
    </row>
    <row r="14799" spans="291:291" x14ac:dyDescent="0.2">
      <c r="KE14799" s="69"/>
    </row>
    <row r="14803" spans="291:291" x14ac:dyDescent="0.2">
      <c r="KE14803" s="69"/>
    </row>
    <row r="14804" spans="291:291" x14ac:dyDescent="0.2">
      <c r="KE14804" s="69"/>
    </row>
    <row r="14810" spans="291:291" x14ac:dyDescent="0.2">
      <c r="KE14810" s="69"/>
    </row>
    <row r="14834" spans="291:291" x14ac:dyDescent="0.2">
      <c r="KE14834" s="69"/>
    </row>
    <row r="14842" spans="291:291" x14ac:dyDescent="0.2">
      <c r="KE14842" s="69"/>
    </row>
    <row r="14843" spans="291:291" x14ac:dyDescent="0.2">
      <c r="KE14843" s="69"/>
    </row>
    <row r="14844" spans="291:291" x14ac:dyDescent="0.2">
      <c r="KE14844" s="69"/>
    </row>
    <row r="14845" spans="291:291" x14ac:dyDescent="0.2">
      <c r="KE14845" s="69"/>
    </row>
    <row r="14846" spans="291:291" x14ac:dyDescent="0.2">
      <c r="KE14846" s="69"/>
    </row>
    <row r="14849" spans="291:291" x14ac:dyDescent="0.2">
      <c r="KE14849" s="69"/>
    </row>
    <row r="14850" spans="291:291" x14ac:dyDescent="0.2">
      <c r="KE14850" s="69"/>
    </row>
    <row r="14851" spans="291:291" x14ac:dyDescent="0.2">
      <c r="KE14851" s="69"/>
    </row>
    <row r="14852" spans="291:291" x14ac:dyDescent="0.2">
      <c r="KE14852" s="69"/>
    </row>
    <row r="14855" spans="291:291" x14ac:dyDescent="0.2">
      <c r="KE14855" s="69"/>
    </row>
    <row r="14856" spans="291:291" x14ac:dyDescent="0.2">
      <c r="KE14856" s="69"/>
    </row>
    <row r="14857" spans="291:291" x14ac:dyDescent="0.2">
      <c r="KE14857" s="69"/>
    </row>
    <row r="14867" spans="291:291" x14ac:dyDescent="0.2">
      <c r="KE14867" s="69"/>
    </row>
    <row r="14870" spans="291:291" x14ac:dyDescent="0.2">
      <c r="KE14870" s="69"/>
    </row>
    <row r="14871" spans="291:291" x14ac:dyDescent="0.2">
      <c r="KE14871" s="69"/>
    </row>
    <row r="14874" spans="291:291" x14ac:dyDescent="0.2">
      <c r="KE14874" s="69"/>
    </row>
    <row r="14875" spans="291:291" x14ac:dyDescent="0.2">
      <c r="KE14875" s="69"/>
    </row>
    <row r="14876" spans="291:291" x14ac:dyDescent="0.2">
      <c r="KE14876" s="69"/>
    </row>
    <row r="14877" spans="291:291" x14ac:dyDescent="0.2">
      <c r="KE14877" s="69"/>
    </row>
    <row r="14878" spans="291:291" x14ac:dyDescent="0.2">
      <c r="KE14878" s="69"/>
    </row>
    <row r="14880" spans="291:291" x14ac:dyDescent="0.2">
      <c r="KE14880" s="69"/>
    </row>
    <row r="14881" spans="291:291" x14ac:dyDescent="0.2">
      <c r="KE14881" s="69"/>
    </row>
    <row r="14883" spans="291:291" x14ac:dyDescent="0.2">
      <c r="KE14883" s="69"/>
    </row>
    <row r="14885" spans="291:291" x14ac:dyDescent="0.2">
      <c r="KE14885" s="69"/>
    </row>
    <row r="14894" spans="291:291" x14ac:dyDescent="0.2">
      <c r="KE14894" s="69"/>
    </row>
    <row r="14895" spans="291:291" x14ac:dyDescent="0.2">
      <c r="KE14895" s="69"/>
    </row>
    <row r="14896" spans="291:291" x14ac:dyDescent="0.2">
      <c r="KE14896" s="69"/>
    </row>
    <row r="14899" spans="291:291" x14ac:dyDescent="0.2">
      <c r="KE14899" s="69"/>
    </row>
    <row r="14900" spans="291:291" x14ac:dyDescent="0.2">
      <c r="KE14900" s="69"/>
    </row>
    <row r="14901" spans="291:291" x14ac:dyDescent="0.2">
      <c r="KE14901" s="69"/>
    </row>
    <row r="14902" spans="291:291" x14ac:dyDescent="0.2">
      <c r="KE14902" s="69"/>
    </row>
    <row r="14906" spans="291:291" x14ac:dyDescent="0.2">
      <c r="KE14906" s="69"/>
    </row>
    <row r="14907" spans="291:291" x14ac:dyDescent="0.2">
      <c r="KE14907" s="69"/>
    </row>
    <row r="14908" spans="291:291" x14ac:dyDescent="0.2">
      <c r="KE14908" s="69"/>
    </row>
    <row r="14935" spans="291:291" x14ac:dyDescent="0.2">
      <c r="KE14935" s="69"/>
    </row>
    <row r="14947" spans="291:291" x14ac:dyDescent="0.2">
      <c r="KE14947" s="69"/>
    </row>
    <row r="14974" spans="291:291" x14ac:dyDescent="0.2">
      <c r="KE14974" s="69"/>
    </row>
    <row r="14978" spans="291:291" x14ac:dyDescent="0.2">
      <c r="KE14978" s="69"/>
    </row>
    <row r="15015" spans="291:291" x14ac:dyDescent="0.2">
      <c r="KE15015" s="69"/>
    </row>
    <row r="15018" spans="291:291" x14ac:dyDescent="0.2">
      <c r="KE15018" s="69"/>
    </row>
    <row r="15072" spans="291:291" x14ac:dyDescent="0.2">
      <c r="KE15072" s="69"/>
    </row>
    <row r="15127" spans="291:291" x14ac:dyDescent="0.2">
      <c r="KE15127" s="69"/>
    </row>
    <row r="15128" spans="291:291" x14ac:dyDescent="0.2">
      <c r="KE15128" s="69"/>
    </row>
    <row r="15130" spans="291:291" x14ac:dyDescent="0.2">
      <c r="KE15130" s="69"/>
    </row>
    <row r="15135" spans="291:291" x14ac:dyDescent="0.2">
      <c r="KE15135" s="69"/>
    </row>
    <row r="15160" spans="291:291" x14ac:dyDescent="0.2">
      <c r="KE15160" s="69"/>
    </row>
    <row r="15162" spans="291:291" x14ac:dyDescent="0.2">
      <c r="KE15162" s="69"/>
    </row>
    <row r="15164" spans="291:291" x14ac:dyDescent="0.2">
      <c r="KE15164" s="69"/>
    </row>
    <row r="15167" spans="291:291" x14ac:dyDescent="0.2">
      <c r="KE15167" s="69"/>
    </row>
    <row r="15168" spans="291:291" x14ac:dyDescent="0.2">
      <c r="KE15168" s="69"/>
    </row>
    <row r="15171" spans="291:291" x14ac:dyDescent="0.2">
      <c r="KE15171" s="69"/>
    </row>
    <row r="15197" spans="291:291" x14ac:dyDescent="0.2">
      <c r="KE15197" s="69"/>
    </row>
    <row r="15229" spans="291:291" x14ac:dyDescent="0.2">
      <c r="KE15229" s="69"/>
    </row>
    <row r="15237" spans="291:291" x14ac:dyDescent="0.2">
      <c r="KE15237" s="69"/>
    </row>
    <row r="15250" spans="291:291" x14ac:dyDescent="0.2">
      <c r="KE15250" s="69"/>
    </row>
    <row r="15254" spans="291:291" x14ac:dyDescent="0.2">
      <c r="KE15254" s="69"/>
    </row>
    <row r="15317" spans="291:291" x14ac:dyDescent="0.2">
      <c r="KE15317" s="69"/>
    </row>
    <row r="15321" spans="291:291" x14ac:dyDescent="0.2">
      <c r="KE15321" s="69"/>
    </row>
    <row r="15350" spans="291:291" x14ac:dyDescent="0.2">
      <c r="KE15350" s="69"/>
    </row>
    <row r="15351" spans="291:291" x14ac:dyDescent="0.2">
      <c r="KE15351" s="69"/>
    </row>
    <row r="15355" spans="291:291" x14ac:dyDescent="0.2">
      <c r="KE15355" s="69"/>
    </row>
    <row r="15356" spans="291:291" x14ac:dyDescent="0.2">
      <c r="KE15356" s="69"/>
    </row>
    <row r="15357" spans="291:291" x14ac:dyDescent="0.2">
      <c r="KE15357" s="69"/>
    </row>
    <row r="15358" spans="291:291" x14ac:dyDescent="0.2">
      <c r="KE15358" s="69"/>
    </row>
    <row r="15359" spans="291:291" x14ac:dyDescent="0.2">
      <c r="KE15359" s="69"/>
    </row>
    <row r="15364" spans="291:291" x14ac:dyDescent="0.2">
      <c r="KE15364" s="69"/>
    </row>
    <row r="15365" spans="291:291" x14ac:dyDescent="0.2">
      <c r="KE15365" s="69"/>
    </row>
    <row r="15366" spans="291:291" x14ac:dyDescent="0.2">
      <c r="KE15366" s="69"/>
    </row>
    <row r="15367" spans="291:291" x14ac:dyDescent="0.2">
      <c r="KE15367" s="69"/>
    </row>
    <row r="15368" spans="291:291" x14ac:dyDescent="0.2">
      <c r="KE15368" s="69"/>
    </row>
    <row r="15369" spans="291:291" x14ac:dyDescent="0.2">
      <c r="KE15369" s="69"/>
    </row>
    <row r="15370" spans="291:291" x14ac:dyDescent="0.2">
      <c r="KE15370" s="69"/>
    </row>
    <row r="15371" spans="291:291" x14ac:dyDescent="0.2">
      <c r="KE15371" s="69"/>
    </row>
    <row r="15372" spans="291:291" x14ac:dyDescent="0.2">
      <c r="KE15372" s="69"/>
    </row>
    <row r="15421" spans="291:291" x14ac:dyDescent="0.2">
      <c r="KE15421" s="69"/>
    </row>
    <row r="15457" spans="291:291" x14ac:dyDescent="0.2">
      <c r="KE15457" s="69"/>
    </row>
    <row r="15459" spans="291:291" x14ac:dyDescent="0.2">
      <c r="KE15459" s="69"/>
    </row>
    <row r="15468" spans="291:291" x14ac:dyDescent="0.2">
      <c r="KE15468" s="69"/>
    </row>
    <row r="15476" spans="291:291" x14ac:dyDescent="0.2">
      <c r="KE15476" s="69"/>
    </row>
    <row r="15484" spans="291:291" x14ac:dyDescent="0.2">
      <c r="KE15484" s="69"/>
    </row>
    <row r="15498" spans="291:291" x14ac:dyDescent="0.2">
      <c r="KE15498" s="69"/>
    </row>
    <row r="15500" spans="291:291" x14ac:dyDescent="0.2">
      <c r="KE15500" s="69"/>
    </row>
    <row r="15501" spans="291:291" x14ac:dyDescent="0.2">
      <c r="KE15501" s="69"/>
    </row>
    <row r="15502" spans="291:291" x14ac:dyDescent="0.2">
      <c r="KE15502" s="69"/>
    </row>
    <row r="15506" spans="291:291" x14ac:dyDescent="0.2">
      <c r="KE15506" s="69"/>
    </row>
    <row r="15508" spans="291:291" x14ac:dyDescent="0.2">
      <c r="KE15508" s="69"/>
    </row>
    <row r="15521" spans="291:291" x14ac:dyDescent="0.2">
      <c r="KE15521" s="69"/>
    </row>
    <row r="15535" spans="291:291" x14ac:dyDescent="0.2">
      <c r="KE15535" s="69"/>
    </row>
    <row r="15544" spans="291:291" x14ac:dyDescent="0.2">
      <c r="KE15544" s="69"/>
    </row>
    <row r="15545" spans="291:291" x14ac:dyDescent="0.2">
      <c r="KE15545" s="69"/>
    </row>
    <row r="15546" spans="291:291" x14ac:dyDescent="0.2">
      <c r="KE15546" s="69"/>
    </row>
    <row r="15547" spans="291:291" x14ac:dyDescent="0.2">
      <c r="KE15547" s="69"/>
    </row>
    <row r="15548" spans="291:291" x14ac:dyDescent="0.2">
      <c r="KE15548" s="69"/>
    </row>
    <row r="15549" spans="291:291" x14ac:dyDescent="0.2">
      <c r="KE15549" s="69"/>
    </row>
    <row r="15550" spans="291:291" x14ac:dyDescent="0.2">
      <c r="KE15550" s="69"/>
    </row>
    <row r="15557" spans="291:291" x14ac:dyDescent="0.2">
      <c r="KE15557" s="69"/>
    </row>
    <row r="15596" spans="291:291" x14ac:dyDescent="0.2">
      <c r="KE15596" s="69"/>
    </row>
    <row r="15597" spans="291:291" x14ac:dyDescent="0.2">
      <c r="KE15597" s="69"/>
    </row>
    <row r="15605" spans="291:291" x14ac:dyDescent="0.2">
      <c r="KE15605" s="69"/>
    </row>
    <row r="15608" spans="291:291" x14ac:dyDescent="0.2">
      <c r="KE15608" s="69"/>
    </row>
    <row r="15609" spans="291:291" x14ac:dyDescent="0.2">
      <c r="KE15609" s="69"/>
    </row>
    <row r="15610" spans="291:291" x14ac:dyDescent="0.2">
      <c r="KE15610" s="69"/>
    </row>
    <row r="15611" spans="291:291" x14ac:dyDescent="0.2">
      <c r="KE15611" s="69"/>
    </row>
    <row r="15612" spans="291:291" x14ac:dyDescent="0.2">
      <c r="KE15612" s="69"/>
    </row>
    <row r="15615" spans="291:291" x14ac:dyDescent="0.2">
      <c r="KE15615" s="69"/>
    </row>
    <row r="15626" spans="291:291" x14ac:dyDescent="0.2">
      <c r="KE15626" s="69"/>
    </row>
    <row r="15629" spans="291:291" x14ac:dyDescent="0.2">
      <c r="KE15629" s="69"/>
    </row>
    <row r="15631" spans="291:291" x14ac:dyDescent="0.2">
      <c r="KE15631" s="69"/>
    </row>
    <row r="15639" spans="291:291" x14ac:dyDescent="0.2">
      <c r="KE15639" s="69"/>
    </row>
    <row r="15645" spans="291:291" x14ac:dyDescent="0.2">
      <c r="KE15645" s="69"/>
    </row>
    <row r="15649" spans="291:291" x14ac:dyDescent="0.2">
      <c r="KE15649" s="69"/>
    </row>
    <row r="15659" spans="291:291" x14ac:dyDescent="0.2">
      <c r="KE15659" s="69"/>
    </row>
    <row r="15660" spans="291:291" x14ac:dyDescent="0.2">
      <c r="KE15660" s="69"/>
    </row>
    <row r="15661" spans="291:291" x14ac:dyDescent="0.2">
      <c r="KE15661" s="69"/>
    </row>
    <row r="15662" spans="291:291" x14ac:dyDescent="0.2">
      <c r="KE15662" s="69"/>
    </row>
    <row r="15663" spans="291:291" x14ac:dyDescent="0.2">
      <c r="KE15663" s="69"/>
    </row>
    <row r="15664" spans="291:291" x14ac:dyDescent="0.2">
      <c r="KE15664" s="69"/>
    </row>
    <row r="15665" spans="291:291" x14ac:dyDescent="0.2">
      <c r="KE15665" s="69"/>
    </row>
    <row r="15666" spans="291:291" x14ac:dyDescent="0.2">
      <c r="KE15666" s="69"/>
    </row>
    <row r="15667" spans="291:291" x14ac:dyDescent="0.2">
      <c r="KE15667" s="69"/>
    </row>
    <row r="15668" spans="291:291" x14ac:dyDescent="0.2">
      <c r="KE15668" s="69"/>
    </row>
    <row r="15670" spans="291:291" x14ac:dyDescent="0.2">
      <c r="KE15670" s="69"/>
    </row>
    <row r="15699" spans="291:291" x14ac:dyDescent="0.2">
      <c r="KE15699" s="69"/>
    </row>
    <row r="15737" spans="291:291" x14ac:dyDescent="0.2">
      <c r="KE15737" s="69"/>
    </row>
    <row r="15743" spans="291:291" x14ac:dyDescent="0.2">
      <c r="KE15743" s="69"/>
    </row>
    <row r="15756" spans="291:291" x14ac:dyDescent="0.2">
      <c r="KE15756" s="69"/>
    </row>
    <row r="15757" spans="291:291" x14ac:dyDescent="0.2">
      <c r="KE15757" s="69"/>
    </row>
    <row r="15761" spans="291:291" x14ac:dyDescent="0.2">
      <c r="KE15761" s="69"/>
    </row>
    <row r="15773" spans="291:291" x14ac:dyDescent="0.2">
      <c r="KE15773" s="69"/>
    </row>
    <row r="15774" spans="291:291" x14ac:dyDescent="0.2">
      <c r="KE15774" s="69"/>
    </row>
    <row r="15775" spans="291:291" x14ac:dyDescent="0.2">
      <c r="KE15775" s="69"/>
    </row>
    <row r="15785" spans="291:291" x14ac:dyDescent="0.2">
      <c r="KE15785" s="69"/>
    </row>
    <row r="15786" spans="291:291" x14ac:dyDescent="0.2">
      <c r="KE15786" s="69"/>
    </row>
    <row r="15787" spans="291:291" x14ac:dyDescent="0.2">
      <c r="KE15787" s="69"/>
    </row>
    <row r="15792" spans="291:291" x14ac:dyDescent="0.2">
      <c r="KE15792" s="69"/>
    </row>
    <row r="15814" spans="291:291" x14ac:dyDescent="0.2">
      <c r="KE15814" s="69"/>
    </row>
    <row r="15828" spans="291:291" x14ac:dyDescent="0.2">
      <c r="KE15828" s="69"/>
    </row>
    <row r="15839" spans="291:291" x14ac:dyDescent="0.2">
      <c r="KE15839" s="69"/>
    </row>
    <row r="15841" spans="291:291" x14ac:dyDescent="0.2">
      <c r="KE15841" s="69"/>
    </row>
    <row r="15843" spans="291:291" x14ac:dyDescent="0.2">
      <c r="KE15843" s="69"/>
    </row>
    <row r="15858" spans="291:291" x14ac:dyDescent="0.2">
      <c r="KE15858" s="69"/>
    </row>
    <row r="15862" spans="291:291" x14ac:dyDescent="0.2">
      <c r="KE15862" s="69"/>
    </row>
    <row r="15866" spans="291:291" x14ac:dyDescent="0.2">
      <c r="KE15866" s="69"/>
    </row>
    <row r="15881" spans="291:291" x14ac:dyDescent="0.2">
      <c r="KE15881" s="69"/>
    </row>
    <row r="15895" spans="291:291" x14ac:dyDescent="0.2">
      <c r="KE15895" s="69"/>
    </row>
    <row r="15896" spans="291:291" x14ac:dyDescent="0.2">
      <c r="KE15896" s="69"/>
    </row>
    <row r="15897" spans="291:291" x14ac:dyDescent="0.2">
      <c r="KE15897" s="69"/>
    </row>
    <row r="15898" spans="291:291" x14ac:dyDescent="0.2">
      <c r="KE15898" s="69"/>
    </row>
    <row r="15899" spans="291:291" x14ac:dyDescent="0.2">
      <c r="KE15899" s="69"/>
    </row>
    <row r="15900" spans="291:291" x14ac:dyDescent="0.2">
      <c r="KE15900" s="69"/>
    </row>
    <row r="15901" spans="291:291" x14ac:dyDescent="0.2">
      <c r="KE15901" s="69"/>
    </row>
    <row r="15902" spans="291:291" x14ac:dyDescent="0.2">
      <c r="KE15902" s="69"/>
    </row>
    <row r="15905" spans="291:291" x14ac:dyDescent="0.2">
      <c r="KE15905" s="69"/>
    </row>
    <row r="15906" spans="291:291" x14ac:dyDescent="0.2">
      <c r="KE15906" s="69"/>
    </row>
    <row r="15909" spans="291:291" x14ac:dyDescent="0.2">
      <c r="KE15909" s="69"/>
    </row>
    <row r="15910" spans="291:291" x14ac:dyDescent="0.2">
      <c r="KE15910" s="69"/>
    </row>
    <row r="15913" spans="291:291" x14ac:dyDescent="0.2">
      <c r="KE15913" s="69"/>
    </row>
    <row r="15914" spans="291:291" x14ac:dyDescent="0.2">
      <c r="KE15914" s="69"/>
    </row>
    <row r="15915" spans="291:291" x14ac:dyDescent="0.2">
      <c r="KE15915" s="69"/>
    </row>
    <row r="15916" spans="291:291" x14ac:dyDescent="0.2">
      <c r="KE15916" s="69"/>
    </row>
    <row r="15917" spans="291:291" x14ac:dyDescent="0.2">
      <c r="KE15917" s="69"/>
    </row>
    <row r="15918" spans="291:291" x14ac:dyDescent="0.2">
      <c r="KE15918" s="69"/>
    </row>
    <row r="15919" spans="291:291" x14ac:dyDescent="0.2">
      <c r="KE15919" s="69"/>
    </row>
    <row r="15920" spans="291:291" x14ac:dyDescent="0.2">
      <c r="KE15920" s="69"/>
    </row>
    <row r="15921" spans="291:291" x14ac:dyDescent="0.2">
      <c r="KE15921" s="69"/>
    </row>
    <row r="15922" spans="291:291" x14ac:dyDescent="0.2">
      <c r="KE15922" s="69"/>
    </row>
    <row r="15925" spans="291:291" x14ac:dyDescent="0.2">
      <c r="KE15925" s="69"/>
    </row>
    <row r="15926" spans="291:291" x14ac:dyDescent="0.2">
      <c r="KE15926" s="69"/>
    </row>
    <row r="15928" spans="291:291" x14ac:dyDescent="0.2">
      <c r="KE15928" s="69"/>
    </row>
    <row r="15936" spans="291:291" x14ac:dyDescent="0.2">
      <c r="KE15936" s="69"/>
    </row>
    <row r="15958" spans="291:291" x14ac:dyDescent="0.2">
      <c r="KE15958" s="69"/>
    </row>
    <row r="15999" spans="291:291" x14ac:dyDescent="0.2">
      <c r="KE15999" s="69"/>
    </row>
    <row r="16007" spans="291:291" x14ac:dyDescent="0.2">
      <c r="KE16007" s="69"/>
    </row>
    <row r="16014" spans="291:291" x14ac:dyDescent="0.2">
      <c r="KE16014" s="69"/>
    </row>
    <row r="16034" spans="291:291" x14ac:dyDescent="0.2">
      <c r="KE16034" s="69"/>
    </row>
    <row r="16035" spans="291:291" x14ac:dyDescent="0.2">
      <c r="KE16035" s="69"/>
    </row>
    <row r="16036" spans="291:291" x14ac:dyDescent="0.2">
      <c r="KE16036" s="69"/>
    </row>
    <row r="16039" spans="291:291" x14ac:dyDescent="0.2">
      <c r="KE16039" s="69"/>
    </row>
    <row r="16045" spans="291:291" x14ac:dyDescent="0.2">
      <c r="KE16045" s="69"/>
    </row>
    <row r="16053" spans="291:291" x14ac:dyDescent="0.2">
      <c r="KE16053" s="69"/>
    </row>
    <row r="16174" spans="291:291" x14ac:dyDescent="0.2">
      <c r="KE16174" s="69"/>
    </row>
    <row r="16184" spans="291:291" x14ac:dyDescent="0.2">
      <c r="KE16184" s="69"/>
    </row>
    <row r="16199" spans="291:291" x14ac:dyDescent="0.2">
      <c r="KE16199" s="69"/>
    </row>
    <row r="16200" spans="291:291" x14ac:dyDescent="0.2">
      <c r="KE16200" s="69"/>
    </row>
    <row r="16204" spans="291:291" x14ac:dyDescent="0.2">
      <c r="KE16204" s="69"/>
    </row>
    <row r="16206" spans="291:291" x14ac:dyDescent="0.2">
      <c r="KE16206" s="69"/>
    </row>
    <row r="16216" spans="291:291" x14ac:dyDescent="0.2">
      <c r="KE16216" s="69"/>
    </row>
    <row r="16228" spans="291:291" x14ac:dyDescent="0.2">
      <c r="KE16228" s="69"/>
    </row>
    <row r="16230" spans="291:291" x14ac:dyDescent="0.2">
      <c r="KE16230" s="69"/>
    </row>
    <row r="16266" spans="291:291" x14ac:dyDescent="0.2">
      <c r="KE16266" s="69"/>
    </row>
    <row r="16269" spans="291:291" x14ac:dyDescent="0.2">
      <c r="KE16269" s="69"/>
    </row>
    <row r="16299" spans="291:291" x14ac:dyDescent="0.2">
      <c r="KE16299" s="69"/>
    </row>
    <row r="16306" spans="291:291" x14ac:dyDescent="0.2">
      <c r="KE16306" s="69"/>
    </row>
    <row r="16311" spans="291:291" x14ac:dyDescent="0.2">
      <c r="KE16311" s="69"/>
    </row>
    <row r="16325" spans="291:291" x14ac:dyDescent="0.2">
      <c r="KE16325" s="69"/>
    </row>
    <row r="16329" spans="291:291" x14ac:dyDescent="0.2">
      <c r="KE16329" s="69"/>
    </row>
    <row r="16330" spans="291:291" x14ac:dyDescent="0.2">
      <c r="KE16330" s="69"/>
    </row>
    <row r="16342" spans="291:291" x14ac:dyDescent="0.2">
      <c r="KE16342" s="69"/>
    </row>
    <row r="16355" spans="291:291" x14ac:dyDescent="0.2">
      <c r="KE16355" s="69"/>
    </row>
    <row r="16365" spans="291:291" x14ac:dyDescent="0.2">
      <c r="KE16365" s="69"/>
    </row>
    <row r="16366" spans="291:291" x14ac:dyDescent="0.2">
      <c r="KE16366" s="69"/>
    </row>
    <row r="16367" spans="291:291" x14ac:dyDescent="0.2">
      <c r="KE16367" s="69"/>
    </row>
    <row r="16368" spans="291:291" x14ac:dyDescent="0.2">
      <c r="KE16368" s="69"/>
    </row>
    <row r="16371" spans="291:291" x14ac:dyDescent="0.2">
      <c r="KE16371" s="69"/>
    </row>
    <row r="16372" spans="291:291" x14ac:dyDescent="0.2">
      <c r="KE16372" s="69"/>
    </row>
    <row r="16373" spans="291:291" x14ac:dyDescent="0.2">
      <c r="KE16373" s="69"/>
    </row>
    <row r="16374" spans="291:291" x14ac:dyDescent="0.2">
      <c r="KE16374" s="69"/>
    </row>
    <row r="16375" spans="291:291" x14ac:dyDescent="0.2">
      <c r="KE16375" s="69"/>
    </row>
    <row r="16376" spans="291:291" x14ac:dyDescent="0.2">
      <c r="KE16376" s="69"/>
    </row>
    <row r="16390" spans="291:291" x14ac:dyDescent="0.2">
      <c r="KE16390" s="69"/>
    </row>
    <row r="16393" spans="291:291" x14ac:dyDescent="0.2">
      <c r="KE16393" s="69"/>
    </row>
    <row r="16418" spans="291:291" x14ac:dyDescent="0.2">
      <c r="KE16418" s="69"/>
    </row>
    <row r="16460" spans="291:291" x14ac:dyDescent="0.2">
      <c r="KE16460" s="69"/>
    </row>
    <row r="16482" spans="291:291" x14ac:dyDescent="0.2">
      <c r="KE16482" s="69"/>
    </row>
    <row r="16491" spans="291:291" x14ac:dyDescent="0.2">
      <c r="KE16491" s="69"/>
    </row>
    <row r="16508" spans="291:291" x14ac:dyDescent="0.2">
      <c r="KE16508" s="69"/>
    </row>
    <row r="16526" spans="291:291" x14ac:dyDescent="0.2">
      <c r="KE16526" s="69"/>
    </row>
    <row r="16561" spans="291:291" x14ac:dyDescent="0.2">
      <c r="KE16561" s="69"/>
    </row>
    <row r="16592" spans="291:291" x14ac:dyDescent="0.2">
      <c r="KE16592" s="69"/>
    </row>
    <row r="16604" spans="291:291" x14ac:dyDescent="0.2">
      <c r="KE16604" s="69"/>
    </row>
    <row r="16635" spans="291:291" x14ac:dyDescent="0.2">
      <c r="KE16635" s="69"/>
    </row>
    <row r="16657" spans="291:291" x14ac:dyDescent="0.2">
      <c r="KE16657" s="69"/>
    </row>
    <row r="16670" spans="291:291" x14ac:dyDescent="0.2">
      <c r="KE16670" s="69"/>
    </row>
    <row r="16685" spans="291:291" x14ac:dyDescent="0.2">
      <c r="KE16685" s="69"/>
    </row>
    <row r="16689" spans="291:291" x14ac:dyDescent="0.2">
      <c r="KE16689" s="69"/>
    </row>
    <row r="16690" spans="291:291" x14ac:dyDescent="0.2">
      <c r="KE16690" s="69"/>
    </row>
    <row r="16691" spans="291:291" x14ac:dyDescent="0.2">
      <c r="KE16691" s="69"/>
    </row>
    <row r="16692" spans="291:291" x14ac:dyDescent="0.2">
      <c r="KE16692" s="69"/>
    </row>
    <row r="16693" spans="291:291" x14ac:dyDescent="0.2">
      <c r="KE16693" s="69"/>
    </row>
    <row r="16694" spans="291:291" x14ac:dyDescent="0.2">
      <c r="KE16694" s="69"/>
    </row>
    <row r="16702" spans="291:291" x14ac:dyDescent="0.2">
      <c r="KE16702" s="69"/>
    </row>
    <row r="16708" spans="291:291" x14ac:dyDescent="0.2">
      <c r="KE16708" s="69"/>
    </row>
    <row r="16712" spans="291:291" x14ac:dyDescent="0.2">
      <c r="KE16712" s="69"/>
    </row>
    <row r="16725" spans="291:291" x14ac:dyDescent="0.2">
      <c r="KE16725" s="69"/>
    </row>
    <row r="16728" spans="291:291" x14ac:dyDescent="0.2">
      <c r="KE16728" s="69"/>
    </row>
    <row r="16804" spans="291:291" x14ac:dyDescent="0.2">
      <c r="KE16804" s="69"/>
    </row>
    <row r="16805" spans="291:291" x14ac:dyDescent="0.2">
      <c r="KE16805" s="69"/>
    </row>
    <row r="16806" spans="291:291" x14ac:dyDescent="0.2">
      <c r="KE16806" s="69"/>
    </row>
    <row r="16807" spans="291:291" x14ac:dyDescent="0.2">
      <c r="KE16807" s="69"/>
    </row>
    <row r="16808" spans="291:291" x14ac:dyDescent="0.2">
      <c r="KE16808" s="69"/>
    </row>
    <row r="16809" spans="291:291" x14ac:dyDescent="0.2">
      <c r="KE16809" s="69"/>
    </row>
    <row r="16810" spans="291:291" x14ac:dyDescent="0.2">
      <c r="KE16810" s="69"/>
    </row>
    <row r="16811" spans="291:291" x14ac:dyDescent="0.2">
      <c r="KE16811" s="69"/>
    </row>
    <row r="16855" spans="291:291" x14ac:dyDescent="0.2">
      <c r="KE16855" s="69"/>
    </row>
    <row r="16862" spans="291:291" x14ac:dyDescent="0.2">
      <c r="KE16862" s="69"/>
    </row>
    <row r="16896" spans="291:291" x14ac:dyDescent="0.2">
      <c r="KE16896" s="69"/>
    </row>
    <row r="16899" spans="291:291" x14ac:dyDescent="0.2">
      <c r="KE16899" s="69"/>
    </row>
    <row r="16906" spans="291:291" x14ac:dyDescent="0.2">
      <c r="KE16906" s="69"/>
    </row>
    <row r="16907" spans="291:291" x14ac:dyDescent="0.2">
      <c r="KE16907" s="69"/>
    </row>
    <row r="16908" spans="291:291" x14ac:dyDescent="0.2">
      <c r="KE16908" s="69"/>
    </row>
    <row r="16909" spans="291:291" x14ac:dyDescent="0.2">
      <c r="KE16909" s="69"/>
    </row>
    <row r="16910" spans="291:291" x14ac:dyDescent="0.2">
      <c r="KE16910" s="69"/>
    </row>
    <row r="16911" spans="291:291" x14ac:dyDescent="0.2">
      <c r="KE16911" s="69"/>
    </row>
    <row r="16912" spans="291:291" x14ac:dyDescent="0.2">
      <c r="KE16912" s="69"/>
    </row>
    <row r="16913" spans="291:291" x14ac:dyDescent="0.2">
      <c r="KE16913" s="69"/>
    </row>
    <row r="16914" spans="291:291" x14ac:dyDescent="0.2">
      <c r="KE16914" s="69"/>
    </row>
    <row r="16915" spans="291:291" x14ac:dyDescent="0.2">
      <c r="KE16915" s="69"/>
    </row>
    <row r="16916" spans="291:291" x14ac:dyDescent="0.2">
      <c r="KE16916" s="69"/>
    </row>
    <row r="16917" spans="291:291" x14ac:dyDescent="0.2">
      <c r="KE16917" s="69"/>
    </row>
    <row r="16918" spans="291:291" x14ac:dyDescent="0.2">
      <c r="KE16918" s="69"/>
    </row>
    <row r="16919" spans="291:291" x14ac:dyDescent="0.2">
      <c r="KE16919" s="69"/>
    </row>
    <row r="16920" spans="291:291" x14ac:dyDescent="0.2">
      <c r="KE16920" s="69"/>
    </row>
    <row r="16921" spans="291:291" x14ac:dyDescent="0.2">
      <c r="KE16921" s="69"/>
    </row>
    <row r="16922" spans="291:291" x14ac:dyDescent="0.2">
      <c r="KE16922" s="69"/>
    </row>
    <row r="16923" spans="291:291" x14ac:dyDescent="0.2">
      <c r="KE16923" s="69"/>
    </row>
    <row r="16924" spans="291:291" x14ac:dyDescent="0.2">
      <c r="KE16924" s="69"/>
    </row>
    <row r="16925" spans="291:291" x14ac:dyDescent="0.2">
      <c r="KE16925" s="69"/>
    </row>
    <row r="16926" spans="291:291" x14ac:dyDescent="0.2">
      <c r="KE16926" s="69"/>
    </row>
    <row r="16927" spans="291:291" x14ac:dyDescent="0.2">
      <c r="KE16927" s="69"/>
    </row>
    <row r="16928" spans="291:291" x14ac:dyDescent="0.2">
      <c r="KE16928" s="69"/>
    </row>
    <row r="16929" spans="291:291" x14ac:dyDescent="0.2">
      <c r="KE16929" s="69"/>
    </row>
    <row r="16930" spans="291:291" x14ac:dyDescent="0.2">
      <c r="KE16930" s="69"/>
    </row>
    <row r="16931" spans="291:291" x14ac:dyDescent="0.2">
      <c r="KE16931" s="69"/>
    </row>
    <row r="16932" spans="291:291" x14ac:dyDescent="0.2">
      <c r="KE16932" s="69"/>
    </row>
    <row r="16933" spans="291:291" x14ac:dyDescent="0.2">
      <c r="KE16933" s="69"/>
    </row>
    <row r="16934" spans="291:291" x14ac:dyDescent="0.2">
      <c r="KE16934" s="69"/>
    </row>
    <row r="16935" spans="291:291" x14ac:dyDescent="0.2">
      <c r="KE16935" s="69"/>
    </row>
    <row r="16936" spans="291:291" x14ac:dyDescent="0.2">
      <c r="KE16936" s="69"/>
    </row>
    <row r="16937" spans="291:291" x14ac:dyDescent="0.2">
      <c r="KE16937" s="69"/>
    </row>
    <row r="16938" spans="291:291" x14ac:dyDescent="0.2">
      <c r="KE16938" s="69"/>
    </row>
    <row r="16939" spans="291:291" x14ac:dyDescent="0.2">
      <c r="KE16939" s="69"/>
    </row>
    <row r="16940" spans="291:291" x14ac:dyDescent="0.2">
      <c r="KE16940" s="69"/>
    </row>
    <row r="16941" spans="291:291" x14ac:dyDescent="0.2">
      <c r="KE16941" s="69"/>
    </row>
    <row r="16942" spans="291:291" x14ac:dyDescent="0.2">
      <c r="KE16942" s="69"/>
    </row>
    <row r="16943" spans="291:291" x14ac:dyDescent="0.2">
      <c r="KE16943" s="69"/>
    </row>
    <row r="16944" spans="291:291" x14ac:dyDescent="0.2">
      <c r="KE16944" s="69"/>
    </row>
    <row r="16945" spans="291:291" x14ac:dyDescent="0.2">
      <c r="KE16945" s="69"/>
    </row>
    <row r="16946" spans="291:291" x14ac:dyDescent="0.2">
      <c r="KE16946" s="69"/>
    </row>
    <row r="16947" spans="291:291" x14ac:dyDescent="0.2">
      <c r="KE16947" s="69"/>
    </row>
    <row r="16948" spans="291:291" x14ac:dyDescent="0.2">
      <c r="KE16948" s="69"/>
    </row>
    <row r="16982" spans="291:291" x14ac:dyDescent="0.2">
      <c r="KE16982" s="69"/>
    </row>
    <row r="17083" spans="291:291" x14ac:dyDescent="0.2">
      <c r="KE17083" s="69"/>
    </row>
    <row r="17088" spans="291:291" x14ac:dyDescent="0.2">
      <c r="KE17088" s="69"/>
    </row>
    <row r="17103" spans="291:291" x14ac:dyDescent="0.2">
      <c r="KE17103" s="69"/>
    </row>
    <row r="17105" spans="291:291" x14ac:dyDescent="0.2">
      <c r="KE17105" s="69"/>
    </row>
    <row r="17114" spans="291:291" x14ac:dyDescent="0.2">
      <c r="KE17114" s="69"/>
    </row>
    <row r="17184" spans="291:291" x14ac:dyDescent="0.2">
      <c r="KE17184" s="69"/>
    </row>
    <row r="17197" spans="291:291" x14ac:dyDescent="0.2">
      <c r="KE17197" s="69"/>
    </row>
    <row r="17238" spans="291:291" x14ac:dyDescent="0.2">
      <c r="KE17238" s="69"/>
    </row>
    <row r="17350" spans="291:291" x14ac:dyDescent="0.2">
      <c r="KE17350" s="69"/>
    </row>
    <row r="17352" spans="291:291" x14ac:dyDescent="0.2">
      <c r="KE17352" s="69"/>
    </row>
    <row r="17454" spans="291:291" x14ac:dyDescent="0.2">
      <c r="KE17454" s="69"/>
    </row>
    <row r="17483" spans="291:291" x14ac:dyDescent="0.2">
      <c r="KE17483" s="69"/>
    </row>
    <row r="17515" spans="291:291" x14ac:dyDescent="0.2">
      <c r="KE17515" s="69"/>
    </row>
    <row r="17519" spans="291:291" x14ac:dyDescent="0.2">
      <c r="KE17519" s="69"/>
    </row>
    <row r="17520" spans="291:291" x14ac:dyDescent="0.2">
      <c r="KE17520" s="69"/>
    </row>
    <row r="17521" spans="291:291" x14ac:dyDescent="0.2">
      <c r="KE17521" s="69"/>
    </row>
    <row r="17527" spans="291:291" x14ac:dyDescent="0.2">
      <c r="KE17527" s="69"/>
    </row>
    <row r="17528" spans="291:291" x14ac:dyDescent="0.2">
      <c r="KE17528" s="69"/>
    </row>
    <row r="17538" spans="291:291" x14ac:dyDescent="0.2">
      <c r="KE17538" s="69"/>
    </row>
    <row r="17550" spans="291:291" x14ac:dyDescent="0.2">
      <c r="KE17550" s="69"/>
    </row>
    <row r="17562" spans="291:291" x14ac:dyDescent="0.2">
      <c r="KE17562" s="69"/>
    </row>
    <row r="17563" spans="291:291" x14ac:dyDescent="0.2">
      <c r="KE17563" s="69"/>
    </row>
    <row r="17575" spans="291:291" x14ac:dyDescent="0.2">
      <c r="KE17575" s="69"/>
    </row>
    <row r="17674" spans="291:291" x14ac:dyDescent="0.2">
      <c r="KE17674" s="69"/>
    </row>
    <row r="17675" spans="291:291" x14ac:dyDescent="0.2">
      <c r="KE17675" s="69"/>
    </row>
    <row r="17676" spans="291:291" x14ac:dyDescent="0.2">
      <c r="KE17676" s="69"/>
    </row>
    <row r="17677" spans="291:291" x14ac:dyDescent="0.2">
      <c r="KE17677" s="69"/>
    </row>
    <row r="17678" spans="291:291" x14ac:dyDescent="0.2">
      <c r="KE17678" s="69"/>
    </row>
    <row r="17679" spans="291:291" x14ac:dyDescent="0.2">
      <c r="KE17679" s="69"/>
    </row>
    <row r="17680" spans="291:291" x14ac:dyDescent="0.2">
      <c r="KE17680" s="69"/>
    </row>
    <row r="17681" spans="291:291" x14ac:dyDescent="0.2">
      <c r="KE17681" s="69"/>
    </row>
    <row r="17682" spans="291:291" x14ac:dyDescent="0.2">
      <c r="KE17682" s="69"/>
    </row>
    <row r="17683" spans="291:291" x14ac:dyDescent="0.2">
      <c r="KE17683" s="69"/>
    </row>
    <row r="17705" spans="291:291" x14ac:dyDescent="0.2">
      <c r="KE17705" s="69"/>
    </row>
    <row r="17745" spans="291:291" x14ac:dyDescent="0.2">
      <c r="KE17745" s="69"/>
    </row>
    <row r="17803" spans="291:291" x14ac:dyDescent="0.2">
      <c r="KE17803" s="69"/>
    </row>
    <row r="17806" spans="291:291" x14ac:dyDescent="0.2">
      <c r="KE17806" s="69"/>
    </row>
    <row r="17807" spans="291:291" x14ac:dyDescent="0.2">
      <c r="KE17807" s="69"/>
    </row>
    <row r="17810" spans="291:291" x14ac:dyDescent="0.2">
      <c r="KE17810" s="69"/>
    </row>
    <row r="17811" spans="291:291" x14ac:dyDescent="0.2">
      <c r="KE17811" s="69"/>
    </row>
    <row r="17813" spans="291:291" x14ac:dyDescent="0.2">
      <c r="KE17813" s="69"/>
    </row>
    <row r="17817" spans="291:291" x14ac:dyDescent="0.2">
      <c r="KE17817" s="69"/>
    </row>
    <row r="17821" spans="291:291" x14ac:dyDescent="0.2">
      <c r="KE17821" s="69"/>
    </row>
    <row r="17822" spans="291:291" x14ac:dyDescent="0.2">
      <c r="KE17822" s="69"/>
    </row>
    <row r="17823" spans="291:291" x14ac:dyDescent="0.2">
      <c r="KE17823" s="69"/>
    </row>
    <row r="17830" spans="291:291" x14ac:dyDescent="0.2">
      <c r="KE17830" s="69"/>
    </row>
    <row r="17831" spans="291:291" x14ac:dyDescent="0.2">
      <c r="KE17831" s="69"/>
    </row>
    <row r="17832" spans="291:291" x14ac:dyDescent="0.2">
      <c r="KE17832" s="69"/>
    </row>
    <row r="17833" spans="291:291" x14ac:dyDescent="0.2">
      <c r="KE17833" s="69"/>
    </row>
    <row r="17855" spans="291:291" x14ac:dyDescent="0.2">
      <c r="KE17855" s="69"/>
    </row>
    <row r="17857" spans="291:291" x14ac:dyDescent="0.2">
      <c r="KE17857" s="69"/>
    </row>
    <row r="17858" spans="291:291" x14ac:dyDescent="0.2">
      <c r="KE17858" s="69"/>
    </row>
    <row r="17859" spans="291:291" x14ac:dyDescent="0.2">
      <c r="KE17859" s="69"/>
    </row>
    <row r="17860" spans="291:291" x14ac:dyDescent="0.2">
      <c r="KE17860" s="69"/>
    </row>
    <row r="17880" spans="291:291" x14ac:dyDescent="0.2">
      <c r="KE17880" s="69"/>
    </row>
    <row r="17900" spans="291:291" x14ac:dyDescent="0.2">
      <c r="KE17900" s="69"/>
    </row>
    <row r="17924" spans="291:291" x14ac:dyDescent="0.2">
      <c r="KE17924" s="69"/>
    </row>
    <row r="17946" spans="291:291" x14ac:dyDescent="0.2">
      <c r="KE17946" s="69"/>
    </row>
    <row r="17950" spans="291:291" x14ac:dyDescent="0.2">
      <c r="KE17950" s="69"/>
    </row>
    <row r="17952" spans="291:291" x14ac:dyDescent="0.2">
      <c r="KE17952" s="69"/>
    </row>
    <row r="17991" spans="291:291" x14ac:dyDescent="0.2">
      <c r="KE17991" s="69"/>
    </row>
    <row r="17992" spans="291:291" x14ac:dyDescent="0.2">
      <c r="KE17992" s="69"/>
    </row>
    <row r="18005" spans="291:291" x14ac:dyDescent="0.2">
      <c r="KE18005" s="69"/>
    </row>
    <row r="18009" spans="291:291" x14ac:dyDescent="0.2">
      <c r="KE18009" s="69"/>
    </row>
    <row r="18059" spans="291:291" x14ac:dyDescent="0.2">
      <c r="KE18059" s="69"/>
    </row>
    <row r="18061" spans="291:291" x14ac:dyDescent="0.2">
      <c r="KE18061" s="69"/>
    </row>
    <row r="18075" spans="291:291" x14ac:dyDescent="0.2">
      <c r="KE18075" s="69"/>
    </row>
    <row r="18079" spans="291:291" x14ac:dyDescent="0.2">
      <c r="KE18079" s="69"/>
    </row>
    <row r="18084" spans="291:291" x14ac:dyDescent="0.2">
      <c r="KE18084" s="69"/>
    </row>
    <row r="18150" spans="291:291" x14ac:dyDescent="0.2">
      <c r="KE18150" s="69"/>
    </row>
    <row r="18154" spans="291:291" x14ac:dyDescent="0.2">
      <c r="KE18154" s="69"/>
    </row>
    <row r="18157" spans="291:291" x14ac:dyDescent="0.2">
      <c r="KE18157" s="69"/>
    </row>
    <row r="18161" spans="291:291" x14ac:dyDescent="0.2">
      <c r="KE18161" s="69"/>
    </row>
    <row r="18168" spans="291:291" x14ac:dyDescent="0.2">
      <c r="KE18168" s="69"/>
    </row>
    <row r="18171" spans="291:291" x14ac:dyDescent="0.2">
      <c r="KE18171" s="69"/>
    </row>
    <row r="18177" spans="291:291" x14ac:dyDescent="0.2">
      <c r="KE18177" s="69"/>
    </row>
    <row r="18179" spans="291:291" x14ac:dyDescent="0.2">
      <c r="KE18179" s="69"/>
    </row>
    <row r="18199" spans="291:291" x14ac:dyDescent="0.2">
      <c r="KE18199" s="69"/>
    </row>
    <row r="18223" spans="291:291" x14ac:dyDescent="0.2">
      <c r="KE18223" s="69"/>
    </row>
    <row r="18237" spans="291:291" x14ac:dyDescent="0.2">
      <c r="KE18237" s="69"/>
    </row>
    <row r="18243" spans="291:291" x14ac:dyDescent="0.2">
      <c r="KE18243" s="69"/>
    </row>
    <row r="18265" spans="291:291" x14ac:dyDescent="0.2">
      <c r="KE18265" s="69"/>
    </row>
    <row r="18267" spans="291:291" x14ac:dyDescent="0.2">
      <c r="KE18267" s="69"/>
    </row>
    <row r="18274" spans="291:291" x14ac:dyDescent="0.2">
      <c r="KE18274" s="69"/>
    </row>
    <row r="18281" spans="291:291" x14ac:dyDescent="0.2">
      <c r="KE18281" s="69"/>
    </row>
    <row r="18285" spans="291:291" x14ac:dyDescent="0.2">
      <c r="KE18285" s="69"/>
    </row>
    <row r="18367" spans="291:291" x14ac:dyDescent="0.2">
      <c r="KE18367" s="69"/>
    </row>
    <row r="18373" spans="291:291" x14ac:dyDescent="0.2">
      <c r="KE18373" s="69"/>
    </row>
    <row r="18379" spans="291:291" x14ac:dyDescent="0.2">
      <c r="KE18379" s="69"/>
    </row>
    <row r="18397" spans="291:291" x14ac:dyDescent="0.2">
      <c r="KE18397" s="69"/>
    </row>
    <row r="18409" spans="291:291" x14ac:dyDescent="0.2">
      <c r="KE18409" s="69"/>
    </row>
    <row r="18410" spans="291:291" x14ac:dyDescent="0.2">
      <c r="KE18410" s="69"/>
    </row>
    <row r="18424" spans="291:291" x14ac:dyDescent="0.2">
      <c r="KE18424" s="69"/>
    </row>
    <row r="18464" spans="291:291" x14ac:dyDescent="0.2">
      <c r="KE18464" s="69"/>
    </row>
    <row r="18470" spans="291:291" x14ac:dyDescent="0.2">
      <c r="KE18470" s="69"/>
    </row>
    <row r="18496" spans="291:291" x14ac:dyDescent="0.2">
      <c r="KE18496" s="69"/>
    </row>
    <row r="18506" spans="291:291" x14ac:dyDescent="0.2">
      <c r="KE18506" s="69"/>
    </row>
    <row r="18533" spans="291:291" x14ac:dyDescent="0.2">
      <c r="KE18533" s="69"/>
    </row>
    <row r="18546" spans="291:291" x14ac:dyDescent="0.2">
      <c r="KE18546" s="69"/>
    </row>
    <row r="18550" spans="291:291" x14ac:dyDescent="0.2">
      <c r="KE18550" s="69"/>
    </row>
    <row r="18558" spans="291:291" x14ac:dyDescent="0.2">
      <c r="KE18558" s="69"/>
    </row>
    <row r="18559" spans="291:291" x14ac:dyDescent="0.2">
      <c r="KE18559" s="69"/>
    </row>
    <row r="18562" spans="291:291" x14ac:dyDescent="0.2">
      <c r="KE18562" s="69"/>
    </row>
    <row r="18610" spans="291:291" x14ac:dyDescent="0.2">
      <c r="KE18610" s="69"/>
    </row>
    <row r="18612" spans="291:291" x14ac:dyDescent="0.2">
      <c r="KE18612" s="69"/>
    </row>
    <row r="18628" spans="291:291" x14ac:dyDescent="0.2">
      <c r="KE18628" s="69"/>
    </row>
    <row r="18629" spans="291:291" x14ac:dyDescent="0.2">
      <c r="KE18629" s="69"/>
    </row>
    <row r="18630" spans="291:291" x14ac:dyDescent="0.2">
      <c r="KE18630" s="69"/>
    </row>
    <row r="18660" spans="291:291" x14ac:dyDescent="0.2">
      <c r="KE18660" s="69"/>
    </row>
    <row r="18701" spans="291:291" x14ac:dyDescent="0.2">
      <c r="KE18701" s="69"/>
    </row>
    <row r="18702" spans="291:291" x14ac:dyDescent="0.2">
      <c r="KE18702" s="69"/>
    </row>
    <row r="18717" spans="291:291" x14ac:dyDescent="0.2">
      <c r="KE18717" s="69"/>
    </row>
    <row r="18737" spans="291:291" x14ac:dyDescent="0.2">
      <c r="KE18737" s="69"/>
    </row>
    <row r="18739" spans="291:291" x14ac:dyDescent="0.2">
      <c r="KE18739" s="69"/>
    </row>
    <row r="18743" spans="291:291" x14ac:dyDescent="0.2">
      <c r="KE18743" s="69"/>
    </row>
    <row r="18745" spans="291:291" x14ac:dyDescent="0.2">
      <c r="KE18745" s="69"/>
    </row>
    <row r="18747" spans="291:291" x14ac:dyDescent="0.2">
      <c r="KE18747" s="69"/>
    </row>
    <row r="18751" spans="291:291" x14ac:dyDescent="0.2">
      <c r="KE18751" s="69"/>
    </row>
    <row r="18752" spans="291:291" x14ac:dyDescent="0.2">
      <c r="KE18752" s="69"/>
    </row>
    <row r="18753" spans="291:291" x14ac:dyDescent="0.2">
      <c r="KE18753" s="69"/>
    </row>
    <row r="18754" spans="291:291" x14ac:dyDescent="0.2">
      <c r="KE18754" s="69"/>
    </row>
    <row r="18763" spans="291:291" x14ac:dyDescent="0.2">
      <c r="KE18763" s="69"/>
    </row>
    <row r="18765" spans="291:291" x14ac:dyDescent="0.2">
      <c r="KE18765" s="69"/>
    </row>
    <row r="18766" spans="291:291" x14ac:dyDescent="0.2">
      <c r="KE18766" s="69"/>
    </row>
    <row r="18767" spans="291:291" x14ac:dyDescent="0.2">
      <c r="KE18767" s="69"/>
    </row>
    <row r="18768" spans="291:291" x14ac:dyDescent="0.2">
      <c r="KE18768" s="69"/>
    </row>
    <row r="18789" spans="291:291" x14ac:dyDescent="0.2">
      <c r="KE18789" s="69"/>
    </row>
    <row r="18813" spans="291:291" x14ac:dyDescent="0.2">
      <c r="KE18813" s="69"/>
    </row>
    <row r="18814" spans="291:291" x14ac:dyDescent="0.2">
      <c r="KE18814" s="69"/>
    </row>
    <row r="18815" spans="291:291" x14ac:dyDescent="0.2">
      <c r="KE18815" s="69"/>
    </row>
    <row r="18816" spans="291:291" x14ac:dyDescent="0.2">
      <c r="KE18816" s="69"/>
    </row>
    <row r="18817" spans="291:291" x14ac:dyDescent="0.2">
      <c r="KE18817" s="69"/>
    </row>
    <row r="18818" spans="291:291" x14ac:dyDescent="0.2">
      <c r="KE18818" s="69"/>
    </row>
    <row r="18819" spans="291:291" x14ac:dyDescent="0.2">
      <c r="KE18819" s="69"/>
    </row>
    <row r="18820" spans="291:291" x14ac:dyDescent="0.2">
      <c r="KE18820" s="69"/>
    </row>
    <row r="18821" spans="291:291" x14ac:dyDescent="0.2">
      <c r="KE18821" s="69"/>
    </row>
    <row r="18822" spans="291:291" x14ac:dyDescent="0.2">
      <c r="KE18822" s="69"/>
    </row>
    <row r="18825" spans="291:291" x14ac:dyDescent="0.2">
      <c r="KE18825" s="69"/>
    </row>
    <row r="18832" spans="291:291" x14ac:dyDescent="0.2">
      <c r="KE18832" s="69"/>
    </row>
    <row r="18833" spans="291:291" x14ac:dyDescent="0.2">
      <c r="KE18833" s="69"/>
    </row>
    <row r="18834" spans="291:291" x14ac:dyDescent="0.2">
      <c r="KE18834" s="69"/>
    </row>
    <row r="18840" spans="291:291" x14ac:dyDescent="0.2">
      <c r="KE18840" s="69"/>
    </row>
    <row r="18844" spans="291:291" x14ac:dyDescent="0.2">
      <c r="KE18844" s="69"/>
    </row>
    <row r="18845" spans="291:291" x14ac:dyDescent="0.2">
      <c r="KE18845" s="69"/>
    </row>
    <row r="18847" spans="291:291" x14ac:dyDescent="0.2">
      <c r="KE18847" s="69"/>
    </row>
    <row r="18855" spans="291:291" x14ac:dyDescent="0.2">
      <c r="KE18855" s="69"/>
    </row>
    <row r="18857" spans="291:291" x14ac:dyDescent="0.2">
      <c r="KE18857" s="69"/>
    </row>
    <row r="18871" spans="291:291" x14ac:dyDescent="0.2">
      <c r="KE18871" s="69"/>
    </row>
    <row r="18879" spans="291:291" x14ac:dyDescent="0.2">
      <c r="KE18879" s="69"/>
    </row>
    <row r="18887" spans="291:291" x14ac:dyDescent="0.2">
      <c r="KE18887" s="69"/>
    </row>
    <row r="18888" spans="291:291" x14ac:dyDescent="0.2">
      <c r="KE18888" s="69"/>
    </row>
    <row r="18889" spans="291:291" x14ac:dyDescent="0.2">
      <c r="KE18889" s="69"/>
    </row>
    <row r="18890" spans="291:291" x14ac:dyDescent="0.2">
      <c r="KE18890" s="69"/>
    </row>
    <row r="18891" spans="291:291" x14ac:dyDescent="0.2">
      <c r="KE18891" s="69"/>
    </row>
    <row r="18892" spans="291:291" x14ac:dyDescent="0.2">
      <c r="KE18892" s="69"/>
    </row>
    <row r="18893" spans="291:291" x14ac:dyDescent="0.2">
      <c r="KE18893" s="69"/>
    </row>
    <row r="18926" spans="291:291" x14ac:dyDescent="0.2">
      <c r="KE18926" s="69"/>
    </row>
    <row r="18938" spans="291:291" x14ac:dyDescent="0.2">
      <c r="KE18938" s="69"/>
    </row>
    <row r="18957" spans="291:291" x14ac:dyDescent="0.2">
      <c r="KE18957" s="69"/>
    </row>
    <row r="18960" spans="291:291" x14ac:dyDescent="0.2">
      <c r="KE18960" s="69"/>
    </row>
    <row r="18961" spans="291:291" x14ac:dyDescent="0.2">
      <c r="KE18961" s="69"/>
    </row>
    <row r="18979" spans="291:291" x14ac:dyDescent="0.2">
      <c r="KE18979" s="69"/>
    </row>
    <row r="18993" spans="291:291" x14ac:dyDescent="0.2">
      <c r="KE18993" s="69"/>
    </row>
    <row r="19001" spans="291:291" x14ac:dyDescent="0.2">
      <c r="KE19001" s="69"/>
    </row>
    <row r="19011" spans="291:291" x14ac:dyDescent="0.2">
      <c r="KE19011" s="69"/>
    </row>
    <row r="19013" spans="291:291" x14ac:dyDescent="0.2">
      <c r="KE19013" s="69"/>
    </row>
    <row r="19020" spans="291:291" x14ac:dyDescent="0.2">
      <c r="KE19020" s="69"/>
    </row>
    <row r="19024" spans="291:291" x14ac:dyDescent="0.2">
      <c r="KE19024" s="69"/>
    </row>
    <row r="19028" spans="291:291" x14ac:dyDescent="0.2">
      <c r="KE19028" s="69"/>
    </row>
    <row r="19029" spans="291:291" x14ac:dyDescent="0.2">
      <c r="KE19029" s="69"/>
    </row>
    <row r="19030" spans="291:291" x14ac:dyDescent="0.2">
      <c r="KE19030" s="69"/>
    </row>
    <row r="19031" spans="291:291" x14ac:dyDescent="0.2">
      <c r="KE19031" s="69"/>
    </row>
    <row r="19032" spans="291:291" x14ac:dyDescent="0.2">
      <c r="KE19032" s="69"/>
    </row>
    <row r="19033" spans="291:291" x14ac:dyDescent="0.2">
      <c r="KE19033" s="69"/>
    </row>
    <row r="19034" spans="291:291" x14ac:dyDescent="0.2">
      <c r="KE19034" s="69"/>
    </row>
    <row r="19038" spans="291:291" x14ac:dyDescent="0.2">
      <c r="KE19038" s="69"/>
    </row>
    <row r="19046" spans="291:291" x14ac:dyDescent="0.2">
      <c r="KE19046" s="69"/>
    </row>
    <row r="19047" spans="291:291" x14ac:dyDescent="0.2">
      <c r="KE19047" s="69"/>
    </row>
    <row r="19048" spans="291:291" x14ac:dyDescent="0.2">
      <c r="KE19048" s="69"/>
    </row>
    <row r="19049" spans="291:291" x14ac:dyDescent="0.2">
      <c r="KE19049" s="69"/>
    </row>
    <row r="19050" spans="291:291" x14ac:dyDescent="0.2">
      <c r="KE19050" s="69"/>
    </row>
    <row r="19051" spans="291:291" x14ac:dyDescent="0.2">
      <c r="KE19051" s="69"/>
    </row>
    <row r="19052" spans="291:291" x14ac:dyDescent="0.2">
      <c r="KE19052" s="69"/>
    </row>
    <row r="19053" spans="291:291" x14ac:dyDescent="0.2">
      <c r="KE19053" s="69"/>
    </row>
    <row r="19054" spans="291:291" x14ac:dyDescent="0.2">
      <c r="KE19054" s="69"/>
    </row>
    <row r="19055" spans="291:291" x14ac:dyDescent="0.2">
      <c r="KE19055" s="69"/>
    </row>
    <row r="19056" spans="291:291" x14ac:dyDescent="0.2">
      <c r="KE19056" s="69"/>
    </row>
    <row r="19057" spans="291:291" x14ac:dyDescent="0.2">
      <c r="KE19057" s="69"/>
    </row>
    <row r="19058" spans="291:291" x14ac:dyDescent="0.2">
      <c r="KE19058" s="69"/>
    </row>
    <row r="19059" spans="291:291" x14ac:dyDescent="0.2">
      <c r="KE19059" s="69"/>
    </row>
    <row r="19060" spans="291:291" x14ac:dyDescent="0.2">
      <c r="KE19060" s="69"/>
    </row>
    <row r="19061" spans="291:291" x14ac:dyDescent="0.2">
      <c r="KE19061" s="69"/>
    </row>
    <row r="19062" spans="291:291" x14ac:dyDescent="0.2">
      <c r="KE19062" s="69"/>
    </row>
    <row r="19063" spans="291:291" x14ac:dyDescent="0.2">
      <c r="KE19063" s="69"/>
    </row>
    <row r="19066" spans="291:291" x14ac:dyDescent="0.2">
      <c r="KE19066" s="69"/>
    </row>
    <row r="19067" spans="291:291" x14ac:dyDescent="0.2">
      <c r="KE19067" s="69"/>
    </row>
    <row r="19068" spans="291:291" x14ac:dyDescent="0.2">
      <c r="KE19068" s="69"/>
    </row>
    <row r="19071" spans="291:291" x14ac:dyDescent="0.2">
      <c r="KE19071" s="69"/>
    </row>
    <row r="19072" spans="291:291" x14ac:dyDescent="0.2">
      <c r="KE19072" s="69"/>
    </row>
    <row r="19075" spans="291:291" x14ac:dyDescent="0.2">
      <c r="KE19075" s="69"/>
    </row>
    <row r="19076" spans="291:291" x14ac:dyDescent="0.2">
      <c r="KE19076" s="69"/>
    </row>
    <row r="19077" spans="291:291" x14ac:dyDescent="0.2">
      <c r="KE19077" s="69"/>
    </row>
    <row r="19078" spans="291:291" x14ac:dyDescent="0.2">
      <c r="KE19078" s="69"/>
    </row>
    <row r="19079" spans="291:291" x14ac:dyDescent="0.2">
      <c r="KE19079" s="69"/>
    </row>
    <row r="19080" spans="291:291" x14ac:dyDescent="0.2">
      <c r="KE19080" s="69"/>
    </row>
    <row r="19081" spans="291:291" x14ac:dyDescent="0.2">
      <c r="KE19081" s="69"/>
    </row>
    <row r="19082" spans="291:291" x14ac:dyDescent="0.2">
      <c r="KE19082" s="69"/>
    </row>
    <row r="19083" spans="291:291" x14ac:dyDescent="0.2">
      <c r="KE19083" s="69"/>
    </row>
    <row r="19084" spans="291:291" x14ac:dyDescent="0.2">
      <c r="KE19084" s="69"/>
    </row>
    <row r="19085" spans="291:291" x14ac:dyDescent="0.2">
      <c r="KE19085" s="69"/>
    </row>
    <row r="19086" spans="291:291" x14ac:dyDescent="0.2">
      <c r="KE19086" s="69"/>
    </row>
    <row r="19087" spans="291:291" x14ac:dyDescent="0.2">
      <c r="KE19087" s="69"/>
    </row>
    <row r="19088" spans="291:291" x14ac:dyDescent="0.2">
      <c r="KE19088" s="69"/>
    </row>
    <row r="19089" spans="291:291" x14ac:dyDescent="0.2">
      <c r="KE19089" s="69"/>
    </row>
    <row r="19090" spans="291:291" x14ac:dyDescent="0.2">
      <c r="KE19090" s="69"/>
    </row>
    <row r="19110" spans="291:291" x14ac:dyDescent="0.2">
      <c r="KE19110" s="69"/>
    </row>
    <row r="19116" spans="291:291" x14ac:dyDescent="0.2">
      <c r="KE19116" s="69"/>
    </row>
    <row r="19124" spans="291:291" x14ac:dyDescent="0.2">
      <c r="KE19124" s="69"/>
    </row>
    <row r="19131" spans="291:291" x14ac:dyDescent="0.2">
      <c r="KE19131" s="69"/>
    </row>
    <row r="19133" spans="291:291" x14ac:dyDescent="0.2">
      <c r="KE19133" s="69"/>
    </row>
    <row r="19136" spans="291:291" x14ac:dyDescent="0.2">
      <c r="KE19136" s="69"/>
    </row>
    <row r="19139" spans="291:291" x14ac:dyDescent="0.2">
      <c r="KE19139" s="69"/>
    </row>
    <row r="19149" spans="291:291" x14ac:dyDescent="0.2">
      <c r="KE19149" s="69"/>
    </row>
    <row r="19150" spans="291:291" x14ac:dyDescent="0.2">
      <c r="KE19150" s="69"/>
    </row>
    <row r="19151" spans="291:291" x14ac:dyDescent="0.2">
      <c r="KE19151" s="69"/>
    </row>
    <row r="19152" spans="291:291" x14ac:dyDescent="0.2">
      <c r="KE19152" s="69"/>
    </row>
    <row r="19153" spans="291:291" x14ac:dyDescent="0.2">
      <c r="KE19153" s="69"/>
    </row>
    <row r="19169" spans="291:291" x14ac:dyDescent="0.2">
      <c r="KE19169" s="69"/>
    </row>
    <row r="19191" spans="291:291" x14ac:dyDescent="0.2">
      <c r="KE19191" s="69"/>
    </row>
    <row r="19192" spans="291:291" x14ac:dyDescent="0.2">
      <c r="KE19192" s="69"/>
    </row>
    <row r="19200" spans="291:291" x14ac:dyDescent="0.2">
      <c r="KE19200" s="69"/>
    </row>
    <row r="19212" spans="291:291" x14ac:dyDescent="0.2">
      <c r="KE19212" s="69"/>
    </row>
    <row r="19227" spans="291:291" x14ac:dyDescent="0.2">
      <c r="KE19227" s="69"/>
    </row>
    <row r="19229" spans="291:291" x14ac:dyDescent="0.2">
      <c r="KE19229" s="69"/>
    </row>
    <row r="19238" spans="291:291" x14ac:dyDescent="0.2">
      <c r="KE19238" s="69"/>
    </row>
    <row r="19239" spans="291:291" x14ac:dyDescent="0.2">
      <c r="KE19239" s="69"/>
    </row>
    <row r="19240" spans="291:291" x14ac:dyDescent="0.2">
      <c r="KE19240" s="69"/>
    </row>
    <row r="19242" spans="291:291" x14ac:dyDescent="0.2">
      <c r="KE19242" s="69"/>
    </row>
    <row r="19243" spans="291:291" x14ac:dyDescent="0.2">
      <c r="KE19243" s="69"/>
    </row>
    <row r="19244" spans="291:291" x14ac:dyDescent="0.2">
      <c r="KE19244" s="69"/>
    </row>
    <row r="19245" spans="291:291" x14ac:dyDescent="0.2">
      <c r="KE19245" s="69"/>
    </row>
    <row r="19257" spans="291:291" x14ac:dyDescent="0.2">
      <c r="KE19257" s="69"/>
    </row>
    <row r="19307" spans="291:291" x14ac:dyDescent="0.2">
      <c r="KE19307" s="69"/>
    </row>
    <row r="19309" spans="291:291" x14ac:dyDescent="0.2">
      <c r="KE19309" s="69"/>
    </row>
    <row r="19323" spans="291:291" x14ac:dyDescent="0.2">
      <c r="KE19323" s="69"/>
    </row>
    <row r="19325" spans="291:291" x14ac:dyDescent="0.2">
      <c r="KE19325" s="69"/>
    </row>
    <row r="19327" spans="291:291" x14ac:dyDescent="0.2">
      <c r="KE19327" s="69"/>
    </row>
    <row r="19340" spans="291:291" x14ac:dyDescent="0.2">
      <c r="KE19340" s="69"/>
    </row>
    <row r="19341" spans="291:291" x14ac:dyDescent="0.2">
      <c r="KE19341" s="69"/>
    </row>
    <row r="19383" spans="291:291" x14ac:dyDescent="0.2">
      <c r="KE19383" s="69"/>
    </row>
    <row r="19396" spans="291:291" x14ac:dyDescent="0.2">
      <c r="KE19396" s="69"/>
    </row>
    <row r="19400" spans="291:291" x14ac:dyDescent="0.2">
      <c r="KE19400" s="69"/>
    </row>
    <row r="19417" spans="291:291" x14ac:dyDescent="0.2">
      <c r="KE19417" s="69"/>
    </row>
    <row r="19419" spans="291:291" x14ac:dyDescent="0.2">
      <c r="KE19419" s="69"/>
    </row>
    <row r="19424" spans="291:291" x14ac:dyDescent="0.2">
      <c r="KE19424" s="69"/>
    </row>
    <row r="19427" spans="291:291" x14ac:dyDescent="0.2">
      <c r="KE19427" s="69"/>
    </row>
    <row r="19432" spans="291:291" x14ac:dyDescent="0.2">
      <c r="KE19432" s="69"/>
    </row>
    <row r="19444" spans="291:291" x14ac:dyDescent="0.2">
      <c r="KE19444" s="69"/>
    </row>
    <row r="19448" spans="291:291" x14ac:dyDescent="0.2">
      <c r="KE19448" s="69"/>
    </row>
    <row r="19465" spans="291:291" x14ac:dyDescent="0.2">
      <c r="KE19465" s="69"/>
    </row>
    <row r="19466" spans="291:291" x14ac:dyDescent="0.2">
      <c r="KE19466" s="69"/>
    </row>
    <row r="19467" spans="291:291" x14ac:dyDescent="0.2">
      <c r="KE19467" s="69"/>
    </row>
    <row r="19470" spans="291:291" x14ac:dyDescent="0.2">
      <c r="KE19470" s="69"/>
    </row>
    <row r="19471" spans="291:291" x14ac:dyDescent="0.2">
      <c r="KE19471" s="69"/>
    </row>
    <row r="19472" spans="291:291" x14ac:dyDescent="0.2">
      <c r="KE19472" s="69"/>
    </row>
    <row r="19473" spans="291:291" x14ac:dyDescent="0.2">
      <c r="KE19473" s="69"/>
    </row>
    <row r="19474" spans="291:291" x14ac:dyDescent="0.2">
      <c r="KE19474" s="69"/>
    </row>
    <row r="19475" spans="291:291" x14ac:dyDescent="0.2">
      <c r="KE19475" s="69"/>
    </row>
    <row r="19478" spans="291:291" x14ac:dyDescent="0.2">
      <c r="KE19478" s="69"/>
    </row>
    <row r="19479" spans="291:291" x14ac:dyDescent="0.2">
      <c r="KE19479" s="69"/>
    </row>
    <row r="19480" spans="291:291" x14ac:dyDescent="0.2">
      <c r="KE19480" s="69"/>
    </row>
    <row r="19481" spans="291:291" x14ac:dyDescent="0.2">
      <c r="KE19481" s="69"/>
    </row>
    <row r="19482" spans="291:291" x14ac:dyDescent="0.2">
      <c r="KE19482" s="69"/>
    </row>
    <row r="19483" spans="291:291" x14ac:dyDescent="0.2">
      <c r="KE19483" s="69"/>
    </row>
    <row r="19484" spans="291:291" x14ac:dyDescent="0.2">
      <c r="KE19484" s="69"/>
    </row>
    <row r="19485" spans="291:291" x14ac:dyDescent="0.2">
      <c r="KE19485" s="69"/>
    </row>
    <row r="19498" spans="291:291" x14ac:dyDescent="0.2">
      <c r="KE19498" s="69"/>
    </row>
    <row r="19504" spans="291:291" x14ac:dyDescent="0.2">
      <c r="KE19504" s="69"/>
    </row>
    <row r="19508" spans="291:291" x14ac:dyDescent="0.2">
      <c r="KE19508" s="69"/>
    </row>
    <row r="19509" spans="291:291" x14ac:dyDescent="0.2">
      <c r="KE19509" s="69"/>
    </row>
    <row r="19510" spans="291:291" x14ac:dyDescent="0.2">
      <c r="KE19510" s="69"/>
    </row>
    <row r="19525" spans="291:291" x14ac:dyDescent="0.2">
      <c r="KE19525" s="69"/>
    </row>
    <row r="19528" spans="291:291" x14ac:dyDescent="0.2">
      <c r="KE19528" s="69"/>
    </row>
    <row r="19529" spans="291:291" x14ac:dyDescent="0.2">
      <c r="KE19529" s="69"/>
    </row>
    <row r="19530" spans="291:291" x14ac:dyDescent="0.2">
      <c r="KE19530" s="69"/>
    </row>
    <row r="19531" spans="291:291" x14ac:dyDescent="0.2">
      <c r="KE19531" s="69"/>
    </row>
    <row r="19532" spans="291:291" x14ac:dyDescent="0.2">
      <c r="KE19532" s="69"/>
    </row>
    <row r="19533" spans="291:291" x14ac:dyDescent="0.2">
      <c r="KE19533" s="69"/>
    </row>
    <row r="19534" spans="291:291" x14ac:dyDescent="0.2">
      <c r="KE19534" s="69"/>
    </row>
    <row r="19535" spans="291:291" x14ac:dyDescent="0.2">
      <c r="KE19535" s="69"/>
    </row>
    <row r="19536" spans="291:291" x14ac:dyDescent="0.2">
      <c r="KE19536" s="69"/>
    </row>
    <row r="19537" spans="291:291" x14ac:dyDescent="0.2">
      <c r="KE19537" s="69"/>
    </row>
    <row r="19538" spans="291:291" x14ac:dyDescent="0.2">
      <c r="KE19538" s="69"/>
    </row>
    <row r="19539" spans="291:291" x14ac:dyDescent="0.2">
      <c r="KE19539" s="69"/>
    </row>
    <row r="19540" spans="291:291" x14ac:dyDescent="0.2">
      <c r="KE19540" s="69"/>
    </row>
    <row r="19542" spans="291:291" x14ac:dyDescent="0.2">
      <c r="KE19542" s="69"/>
    </row>
    <row r="19543" spans="291:291" x14ac:dyDescent="0.2">
      <c r="KE19543" s="69"/>
    </row>
    <row r="19544" spans="291:291" x14ac:dyDescent="0.2">
      <c r="KE19544" s="69"/>
    </row>
    <row r="19545" spans="291:291" x14ac:dyDescent="0.2">
      <c r="KE19545" s="69"/>
    </row>
    <row r="19546" spans="291:291" x14ac:dyDescent="0.2">
      <c r="KE19546" s="69"/>
    </row>
    <row r="19547" spans="291:291" x14ac:dyDescent="0.2">
      <c r="KE19547" s="69"/>
    </row>
    <row r="19548" spans="291:291" x14ac:dyDescent="0.2">
      <c r="KE19548" s="69"/>
    </row>
    <row r="19549" spans="291:291" x14ac:dyDescent="0.2">
      <c r="KE19549" s="69"/>
    </row>
    <row r="19550" spans="291:291" x14ac:dyDescent="0.2">
      <c r="KE19550" s="69"/>
    </row>
    <row r="19551" spans="291:291" x14ac:dyDescent="0.2">
      <c r="KE19551" s="69"/>
    </row>
    <row r="19552" spans="291:291" x14ac:dyDescent="0.2">
      <c r="KE19552" s="69"/>
    </row>
    <row r="19553" spans="291:291" x14ac:dyDescent="0.2">
      <c r="KE19553" s="69"/>
    </row>
    <row r="19554" spans="291:291" x14ac:dyDescent="0.2">
      <c r="KE19554" s="69"/>
    </row>
    <row r="19555" spans="291:291" x14ac:dyDescent="0.2">
      <c r="KE19555" s="69"/>
    </row>
    <row r="19556" spans="291:291" x14ac:dyDescent="0.2">
      <c r="KE19556" s="69"/>
    </row>
    <row r="19557" spans="291:291" x14ac:dyDescent="0.2">
      <c r="KE19557" s="69"/>
    </row>
    <row r="19558" spans="291:291" x14ac:dyDescent="0.2">
      <c r="KE19558" s="69"/>
    </row>
    <row r="19559" spans="291:291" x14ac:dyDescent="0.2">
      <c r="KE19559" s="69"/>
    </row>
    <row r="19561" spans="291:291" x14ac:dyDescent="0.2">
      <c r="KE19561" s="69"/>
    </row>
    <row r="19562" spans="291:291" x14ac:dyDescent="0.2">
      <c r="KE19562" s="69"/>
    </row>
    <row r="19563" spans="291:291" x14ac:dyDescent="0.2">
      <c r="KE19563" s="69"/>
    </row>
    <row r="19564" spans="291:291" x14ac:dyDescent="0.2">
      <c r="KE19564" s="69"/>
    </row>
    <row r="19565" spans="291:291" x14ac:dyDescent="0.2">
      <c r="KE19565" s="69"/>
    </row>
    <row r="19566" spans="291:291" x14ac:dyDescent="0.2">
      <c r="KE19566" s="69"/>
    </row>
    <row r="19567" spans="291:291" x14ac:dyDescent="0.2">
      <c r="KE19567" s="69"/>
    </row>
    <row r="19568" spans="291:291" x14ac:dyDescent="0.2">
      <c r="KE19568" s="69"/>
    </row>
    <row r="19570" spans="291:291" x14ac:dyDescent="0.2">
      <c r="KE19570" s="69"/>
    </row>
    <row r="19571" spans="291:291" x14ac:dyDescent="0.2">
      <c r="KE19571" s="69"/>
    </row>
    <row r="19573" spans="291:291" x14ac:dyDescent="0.2">
      <c r="KE19573" s="69"/>
    </row>
    <row r="19577" spans="291:291" x14ac:dyDescent="0.2">
      <c r="KE19577" s="69"/>
    </row>
    <row r="19578" spans="291:291" x14ac:dyDescent="0.2">
      <c r="KE19578" s="69"/>
    </row>
    <row r="19583" spans="291:291" x14ac:dyDescent="0.2">
      <c r="KE19583" s="69"/>
    </row>
    <row r="19660" spans="291:291" x14ac:dyDescent="0.2">
      <c r="KE19660" s="69"/>
    </row>
    <row r="19661" spans="291:291" x14ac:dyDescent="0.2">
      <c r="KE19661" s="69"/>
    </row>
    <row r="19662" spans="291:291" x14ac:dyDescent="0.2">
      <c r="KE19662" s="69"/>
    </row>
    <row r="19663" spans="291:291" x14ac:dyDescent="0.2">
      <c r="KE19663" s="69"/>
    </row>
    <row r="19664" spans="291:291" x14ac:dyDescent="0.2">
      <c r="KE19664" s="69"/>
    </row>
    <row r="19665" spans="291:291" x14ac:dyDescent="0.2">
      <c r="KE19665" s="69"/>
    </row>
    <row r="19666" spans="291:291" x14ac:dyDescent="0.2">
      <c r="KE19666" s="69"/>
    </row>
    <row r="19667" spans="291:291" x14ac:dyDescent="0.2">
      <c r="KE19667" s="69"/>
    </row>
    <row r="19668" spans="291:291" x14ac:dyDescent="0.2">
      <c r="KE19668" s="69"/>
    </row>
    <row r="19669" spans="291:291" x14ac:dyDescent="0.2">
      <c r="KE19669" s="69"/>
    </row>
    <row r="19670" spans="291:291" x14ac:dyDescent="0.2">
      <c r="KE19670" s="69"/>
    </row>
    <row r="19684" spans="291:291" x14ac:dyDescent="0.2">
      <c r="KE19684" s="69"/>
    </row>
    <row r="19685" spans="291:291" x14ac:dyDescent="0.2">
      <c r="KE19685" s="69"/>
    </row>
    <row r="19686" spans="291:291" x14ac:dyDescent="0.2">
      <c r="KE19686" s="69"/>
    </row>
    <row r="19687" spans="291:291" x14ac:dyDescent="0.2">
      <c r="KE19687" s="69"/>
    </row>
    <row r="19690" spans="291:291" x14ac:dyDescent="0.2">
      <c r="KE19690" s="69"/>
    </row>
    <row r="19691" spans="291:291" x14ac:dyDescent="0.2">
      <c r="KE19691" s="69"/>
    </row>
    <row r="19692" spans="291:291" x14ac:dyDescent="0.2">
      <c r="KE19692" s="69"/>
    </row>
    <row r="19693" spans="291:291" x14ac:dyDescent="0.2">
      <c r="KE19693" s="69"/>
    </row>
    <row r="19694" spans="291:291" x14ac:dyDescent="0.2">
      <c r="KE19694" s="69"/>
    </row>
    <row r="19695" spans="291:291" x14ac:dyDescent="0.2">
      <c r="KE19695" s="69"/>
    </row>
    <row r="19696" spans="291:291" x14ac:dyDescent="0.2">
      <c r="KE19696" s="69"/>
    </row>
    <row r="19697" spans="291:291" x14ac:dyDescent="0.2">
      <c r="KE19697" s="69"/>
    </row>
    <row r="19698" spans="291:291" x14ac:dyDescent="0.2">
      <c r="KE19698" s="69"/>
    </row>
    <row r="19699" spans="291:291" x14ac:dyDescent="0.2">
      <c r="KE19699" s="69"/>
    </row>
    <row r="19700" spans="291:291" x14ac:dyDescent="0.2">
      <c r="KE19700" s="69"/>
    </row>
    <row r="19701" spans="291:291" x14ac:dyDescent="0.2">
      <c r="KE19701" s="69"/>
    </row>
    <row r="19702" spans="291:291" x14ac:dyDescent="0.2">
      <c r="KE19702" s="69"/>
    </row>
    <row r="19703" spans="291:291" x14ac:dyDescent="0.2">
      <c r="KE19703" s="69"/>
    </row>
    <row r="19704" spans="291:291" x14ac:dyDescent="0.2">
      <c r="KE19704" s="69"/>
    </row>
    <row r="19705" spans="291:291" x14ac:dyDescent="0.2">
      <c r="KE19705" s="69"/>
    </row>
    <row r="19706" spans="291:291" x14ac:dyDescent="0.2">
      <c r="KE19706" s="69"/>
    </row>
    <row r="19709" spans="291:291" x14ac:dyDescent="0.2">
      <c r="KE19709" s="69"/>
    </row>
    <row r="19710" spans="291:291" x14ac:dyDescent="0.2">
      <c r="KE19710" s="69"/>
    </row>
    <row r="19711" spans="291:291" x14ac:dyDescent="0.2">
      <c r="KE19711" s="69"/>
    </row>
    <row r="19712" spans="291:291" x14ac:dyDescent="0.2">
      <c r="KE19712" s="69"/>
    </row>
    <row r="19713" spans="291:291" x14ac:dyDescent="0.2">
      <c r="KE19713" s="69"/>
    </row>
    <row r="19714" spans="291:291" x14ac:dyDescent="0.2">
      <c r="KE19714" s="69"/>
    </row>
    <row r="19715" spans="291:291" x14ac:dyDescent="0.2">
      <c r="KE19715" s="69"/>
    </row>
    <row r="19716" spans="291:291" x14ac:dyDescent="0.2">
      <c r="KE19716" s="69"/>
    </row>
    <row r="19717" spans="291:291" x14ac:dyDescent="0.2">
      <c r="KE19717" s="69"/>
    </row>
    <row r="19718" spans="291:291" x14ac:dyDescent="0.2">
      <c r="KE19718" s="69"/>
    </row>
    <row r="19719" spans="291:291" x14ac:dyDescent="0.2">
      <c r="KE19719" s="69"/>
    </row>
    <row r="19720" spans="291:291" x14ac:dyDescent="0.2">
      <c r="KE19720" s="69"/>
    </row>
    <row r="19721" spans="291:291" x14ac:dyDescent="0.2">
      <c r="KE19721" s="69"/>
    </row>
    <row r="19722" spans="291:291" x14ac:dyDescent="0.2">
      <c r="KE19722" s="69"/>
    </row>
    <row r="19723" spans="291:291" x14ac:dyDescent="0.2">
      <c r="KE19723" s="69"/>
    </row>
    <row r="19724" spans="291:291" x14ac:dyDescent="0.2">
      <c r="KE19724" s="69"/>
    </row>
    <row r="19725" spans="291:291" x14ac:dyDescent="0.2">
      <c r="KE19725" s="69"/>
    </row>
    <row r="19726" spans="291:291" x14ac:dyDescent="0.2">
      <c r="KE19726" s="69"/>
    </row>
    <row r="19727" spans="291:291" x14ac:dyDescent="0.2">
      <c r="KE19727" s="69"/>
    </row>
    <row r="19788" spans="291:291" x14ac:dyDescent="0.2">
      <c r="KE19788" s="69"/>
    </row>
    <row r="19794" spans="291:291" x14ac:dyDescent="0.2">
      <c r="KE19794" s="69"/>
    </row>
    <row r="19796" spans="291:291" x14ac:dyDescent="0.2">
      <c r="KE19796" s="69"/>
    </row>
    <row r="19798" spans="291:291" x14ac:dyDescent="0.2">
      <c r="KE19798" s="69"/>
    </row>
    <row r="19800" spans="291:291" x14ac:dyDescent="0.2">
      <c r="KE19800" s="69"/>
    </row>
    <row r="19801" spans="291:291" x14ac:dyDescent="0.2">
      <c r="KE19801" s="69"/>
    </row>
    <row r="19802" spans="291:291" x14ac:dyDescent="0.2">
      <c r="KE19802" s="69"/>
    </row>
    <row r="19803" spans="291:291" x14ac:dyDescent="0.2">
      <c r="KE19803" s="69"/>
    </row>
    <row r="19813" spans="291:291" x14ac:dyDescent="0.2">
      <c r="KE19813" s="69"/>
    </row>
    <row r="19830" spans="291:291" x14ac:dyDescent="0.2">
      <c r="KE19830" s="69"/>
    </row>
    <row r="19845" spans="291:291" x14ac:dyDescent="0.2">
      <c r="KE19845" s="69"/>
    </row>
    <row r="19846" spans="291:291" x14ac:dyDescent="0.2">
      <c r="KE19846" s="69"/>
    </row>
    <row r="19847" spans="291:291" x14ac:dyDescent="0.2">
      <c r="KE19847" s="69"/>
    </row>
    <row r="19848" spans="291:291" x14ac:dyDescent="0.2">
      <c r="KE19848" s="69"/>
    </row>
    <row r="19849" spans="291:291" x14ac:dyDescent="0.2">
      <c r="KE19849" s="69"/>
    </row>
    <row r="19850" spans="291:291" x14ac:dyDescent="0.2">
      <c r="KE19850" s="69"/>
    </row>
    <row r="19854" spans="291:291" x14ac:dyDescent="0.2">
      <c r="KE19854" s="69"/>
    </row>
    <row r="19884" spans="291:291" x14ac:dyDescent="0.2">
      <c r="KE19884" s="69"/>
    </row>
    <row r="19889" spans="291:291" x14ac:dyDescent="0.2">
      <c r="KE19889" s="69"/>
    </row>
    <row r="19890" spans="291:291" x14ac:dyDescent="0.2">
      <c r="KE19890" s="69"/>
    </row>
    <row r="19891" spans="291:291" x14ac:dyDescent="0.2">
      <c r="KE19891" s="69"/>
    </row>
    <row r="19894" spans="291:291" x14ac:dyDescent="0.2">
      <c r="KE19894" s="69"/>
    </row>
    <row r="19895" spans="291:291" x14ac:dyDescent="0.2">
      <c r="KE19895" s="69"/>
    </row>
    <row r="19896" spans="291:291" x14ac:dyDescent="0.2">
      <c r="KE19896" s="69"/>
    </row>
    <row r="19897" spans="291:291" x14ac:dyDescent="0.2">
      <c r="KE19897" s="69"/>
    </row>
    <row r="19898" spans="291:291" x14ac:dyDescent="0.2">
      <c r="KE19898" s="69"/>
    </row>
    <row r="19899" spans="291:291" x14ac:dyDescent="0.2">
      <c r="KE19899" s="69"/>
    </row>
    <row r="19900" spans="291:291" x14ac:dyDescent="0.2">
      <c r="KE19900" s="69"/>
    </row>
    <row r="19914" spans="291:291" x14ac:dyDescent="0.2">
      <c r="KE19914" s="69"/>
    </row>
    <row r="19926" spans="291:291" x14ac:dyDescent="0.2">
      <c r="KE19926" s="69"/>
    </row>
    <row r="19939" spans="291:291" x14ac:dyDescent="0.2">
      <c r="KE19939" s="69"/>
    </row>
    <row r="19974" spans="291:291" x14ac:dyDescent="0.2">
      <c r="KE19974" s="69"/>
    </row>
    <row r="19995" spans="291:291" x14ac:dyDescent="0.2">
      <c r="KE19995" s="69"/>
    </row>
    <row r="20010" spans="291:291" x14ac:dyDescent="0.2">
      <c r="KE20010" s="69"/>
    </row>
    <row r="20014" spans="291:291" x14ac:dyDescent="0.2">
      <c r="KE20014" s="69"/>
    </row>
    <row r="20018" spans="291:291" x14ac:dyDescent="0.2">
      <c r="KE20018" s="69"/>
    </row>
    <row r="20019" spans="291:291" x14ac:dyDescent="0.2">
      <c r="KE20019" s="69"/>
    </row>
    <row r="20025" spans="291:291" x14ac:dyDescent="0.2">
      <c r="KE20025" s="69"/>
    </row>
    <row r="20043" spans="291:291" x14ac:dyDescent="0.2">
      <c r="KE20043" s="69"/>
    </row>
    <row r="20049" spans="291:291" x14ac:dyDescent="0.2">
      <c r="KE20049" s="69"/>
    </row>
    <row r="20059" spans="291:291" x14ac:dyDescent="0.2">
      <c r="KE20059" s="69"/>
    </row>
    <row r="20071" spans="291:291" x14ac:dyDescent="0.2">
      <c r="KE20071" s="69"/>
    </row>
    <row r="20072" spans="291:291" x14ac:dyDescent="0.2">
      <c r="KE20072" s="69"/>
    </row>
    <row r="20073" spans="291:291" x14ac:dyDescent="0.2">
      <c r="KE20073" s="69"/>
    </row>
    <row r="20074" spans="291:291" x14ac:dyDescent="0.2">
      <c r="KE20074" s="69"/>
    </row>
    <row r="20075" spans="291:291" x14ac:dyDescent="0.2">
      <c r="KE20075" s="69"/>
    </row>
    <row r="20076" spans="291:291" x14ac:dyDescent="0.2">
      <c r="KE20076" s="69"/>
    </row>
    <row r="20077" spans="291:291" x14ac:dyDescent="0.2">
      <c r="KE20077" s="69"/>
    </row>
    <row r="20078" spans="291:291" x14ac:dyDescent="0.2">
      <c r="KE20078" s="69"/>
    </row>
    <row r="20079" spans="291:291" x14ac:dyDescent="0.2">
      <c r="KE20079" s="69"/>
    </row>
    <row r="20080" spans="291:291" x14ac:dyDescent="0.2">
      <c r="KE20080" s="69"/>
    </row>
    <row r="20083" spans="291:291" x14ac:dyDescent="0.2">
      <c r="KE20083" s="69"/>
    </row>
    <row r="20084" spans="291:291" x14ac:dyDescent="0.2">
      <c r="KE20084" s="69"/>
    </row>
    <row r="20085" spans="291:291" x14ac:dyDescent="0.2">
      <c r="KE20085" s="69"/>
    </row>
    <row r="20086" spans="291:291" x14ac:dyDescent="0.2">
      <c r="KE20086" s="69"/>
    </row>
    <row r="20087" spans="291:291" x14ac:dyDescent="0.2">
      <c r="KE20087" s="69"/>
    </row>
    <row r="20090" spans="291:291" x14ac:dyDescent="0.2">
      <c r="KE20090" s="69"/>
    </row>
    <row r="20091" spans="291:291" x14ac:dyDescent="0.2">
      <c r="KE20091" s="69"/>
    </row>
    <row r="20092" spans="291:291" x14ac:dyDescent="0.2">
      <c r="KE20092" s="69"/>
    </row>
    <row r="20093" spans="291:291" x14ac:dyDescent="0.2">
      <c r="KE20093" s="69"/>
    </row>
    <row r="20094" spans="291:291" x14ac:dyDescent="0.2">
      <c r="KE20094" s="69"/>
    </row>
    <row r="20095" spans="291:291" x14ac:dyDescent="0.2">
      <c r="KE20095" s="69"/>
    </row>
    <row r="20096" spans="291:291" x14ac:dyDescent="0.2">
      <c r="KE20096" s="69"/>
    </row>
    <row r="20097" spans="291:291" x14ac:dyDescent="0.2">
      <c r="KE20097" s="69"/>
    </row>
    <row r="20098" spans="291:291" x14ac:dyDescent="0.2">
      <c r="KE20098" s="69"/>
    </row>
    <row r="20099" spans="291:291" x14ac:dyDescent="0.2">
      <c r="KE20099" s="69"/>
    </row>
    <row r="20102" spans="291:291" x14ac:dyDescent="0.2">
      <c r="KE20102" s="69"/>
    </row>
    <row r="20103" spans="291:291" x14ac:dyDescent="0.2">
      <c r="KE20103" s="69"/>
    </row>
    <row r="20104" spans="291:291" x14ac:dyDescent="0.2">
      <c r="KE20104" s="69"/>
    </row>
    <row r="20105" spans="291:291" x14ac:dyDescent="0.2">
      <c r="KE20105" s="69"/>
    </row>
    <row r="20106" spans="291:291" x14ac:dyDescent="0.2">
      <c r="KE20106" s="69"/>
    </row>
    <row r="20107" spans="291:291" x14ac:dyDescent="0.2">
      <c r="KE20107" s="69"/>
    </row>
    <row r="20108" spans="291:291" x14ac:dyDescent="0.2">
      <c r="KE20108" s="69"/>
    </row>
    <row r="20109" spans="291:291" x14ac:dyDescent="0.2">
      <c r="KE20109" s="69"/>
    </row>
    <row r="20112" spans="291:291" x14ac:dyDescent="0.2">
      <c r="KE20112" s="69"/>
    </row>
    <row r="20113" spans="291:291" x14ac:dyDescent="0.2">
      <c r="KE20113" s="69"/>
    </row>
    <row r="20114" spans="291:291" x14ac:dyDescent="0.2">
      <c r="KE20114" s="69"/>
    </row>
    <row r="20116" spans="291:291" x14ac:dyDescent="0.2">
      <c r="KE20116" s="69"/>
    </row>
    <row r="20117" spans="291:291" x14ac:dyDescent="0.2">
      <c r="KE20117" s="69"/>
    </row>
    <row r="20118" spans="291:291" x14ac:dyDescent="0.2">
      <c r="KE20118" s="69"/>
    </row>
    <row r="20119" spans="291:291" x14ac:dyDescent="0.2">
      <c r="KE20119" s="69"/>
    </row>
    <row r="20120" spans="291:291" x14ac:dyDescent="0.2">
      <c r="KE20120" s="69"/>
    </row>
    <row r="20123" spans="291:291" x14ac:dyDescent="0.2">
      <c r="KE20123" s="69"/>
    </row>
    <row r="20124" spans="291:291" x14ac:dyDescent="0.2">
      <c r="KE20124" s="69"/>
    </row>
    <row r="20125" spans="291:291" x14ac:dyDescent="0.2">
      <c r="KE20125" s="69"/>
    </row>
    <row r="20126" spans="291:291" x14ac:dyDescent="0.2">
      <c r="KE20126" s="69"/>
    </row>
    <row r="20127" spans="291:291" x14ac:dyDescent="0.2">
      <c r="KE20127" s="69"/>
    </row>
    <row r="20128" spans="291:291" x14ac:dyDescent="0.2">
      <c r="KE20128" s="69"/>
    </row>
    <row r="20129" spans="291:291" x14ac:dyDescent="0.2">
      <c r="KE20129" s="69"/>
    </row>
    <row r="20130" spans="291:291" x14ac:dyDescent="0.2">
      <c r="KE20130" s="69"/>
    </row>
    <row r="20131" spans="291:291" x14ac:dyDescent="0.2">
      <c r="KE20131" s="69"/>
    </row>
    <row r="20135" spans="291:291" x14ac:dyDescent="0.2">
      <c r="KE20135" s="69"/>
    </row>
    <row r="20136" spans="291:291" x14ac:dyDescent="0.2">
      <c r="KE20136" s="69"/>
    </row>
    <row r="20137" spans="291:291" x14ac:dyDescent="0.2">
      <c r="KE20137" s="69"/>
    </row>
    <row r="20138" spans="291:291" x14ac:dyDescent="0.2">
      <c r="KE20138" s="69"/>
    </row>
    <row r="20139" spans="291:291" x14ac:dyDescent="0.2">
      <c r="KE20139" s="69"/>
    </row>
    <row r="20140" spans="291:291" x14ac:dyDescent="0.2">
      <c r="KE20140" s="69"/>
    </row>
    <row r="20141" spans="291:291" x14ac:dyDescent="0.2">
      <c r="KE20141" s="69"/>
    </row>
    <row r="20142" spans="291:291" x14ac:dyDescent="0.2">
      <c r="KE20142" s="69"/>
    </row>
    <row r="20143" spans="291:291" x14ac:dyDescent="0.2">
      <c r="KE20143" s="69"/>
    </row>
    <row r="20144" spans="291:291" x14ac:dyDescent="0.2">
      <c r="KE20144" s="69"/>
    </row>
    <row r="20145" spans="291:291" x14ac:dyDescent="0.2">
      <c r="KE20145" s="69"/>
    </row>
    <row r="20146" spans="291:291" x14ac:dyDescent="0.2">
      <c r="KE20146" s="69"/>
    </row>
    <row r="20147" spans="291:291" x14ac:dyDescent="0.2">
      <c r="KE20147" s="69"/>
    </row>
    <row r="20148" spans="291:291" x14ac:dyDescent="0.2">
      <c r="KE20148" s="69"/>
    </row>
    <row r="20149" spans="291:291" x14ac:dyDescent="0.2">
      <c r="KE20149" s="69"/>
    </row>
    <row r="20150" spans="291:291" x14ac:dyDescent="0.2">
      <c r="KE20150" s="69"/>
    </row>
    <row r="20151" spans="291:291" x14ac:dyDescent="0.2">
      <c r="KE20151" s="69"/>
    </row>
    <row r="20154" spans="291:291" x14ac:dyDescent="0.2">
      <c r="KE20154" s="69"/>
    </row>
    <row r="20155" spans="291:291" x14ac:dyDescent="0.2">
      <c r="KE20155" s="69"/>
    </row>
    <row r="20158" spans="291:291" x14ac:dyDescent="0.2">
      <c r="KE20158" s="69"/>
    </row>
    <row r="20159" spans="291:291" x14ac:dyDescent="0.2">
      <c r="KE20159" s="69"/>
    </row>
    <row r="20160" spans="291:291" x14ac:dyDescent="0.2">
      <c r="KE20160" s="69"/>
    </row>
    <row r="20162" spans="291:291" x14ac:dyDescent="0.2">
      <c r="KE20162" s="69"/>
    </row>
    <row r="20164" spans="291:291" x14ac:dyDescent="0.2">
      <c r="KE20164" s="69"/>
    </row>
    <row r="20166" spans="291:291" x14ac:dyDescent="0.2">
      <c r="KE20166" s="69"/>
    </row>
    <row r="20190" spans="291:291" x14ac:dyDescent="0.2">
      <c r="KE20190" s="69"/>
    </row>
    <row r="20191" spans="291:291" x14ac:dyDescent="0.2">
      <c r="KE20191" s="69"/>
    </row>
    <row r="20192" spans="291:291" x14ac:dyDescent="0.2">
      <c r="KE20192" s="69"/>
    </row>
    <row r="20194" spans="291:291" x14ac:dyDescent="0.2">
      <c r="KE20194" s="69"/>
    </row>
    <row r="20197" spans="291:291" x14ac:dyDescent="0.2">
      <c r="KE20197" s="69"/>
    </row>
    <row r="20198" spans="291:291" x14ac:dyDescent="0.2">
      <c r="KE20198" s="69"/>
    </row>
    <row r="20203" spans="291:291" x14ac:dyDescent="0.2">
      <c r="KE20203" s="69"/>
    </row>
    <row r="20208" spans="291:291" x14ac:dyDescent="0.2">
      <c r="KE20208" s="69"/>
    </row>
    <row r="20211" spans="291:291" x14ac:dyDescent="0.2">
      <c r="KE20211" s="69"/>
    </row>
    <row r="20212" spans="291:291" x14ac:dyDescent="0.2">
      <c r="KE20212" s="69"/>
    </row>
    <row r="20213" spans="291:291" x14ac:dyDescent="0.2">
      <c r="KE20213" s="69"/>
    </row>
    <row r="20214" spans="291:291" x14ac:dyDescent="0.2">
      <c r="KE20214" s="69"/>
    </row>
    <row r="20215" spans="291:291" x14ac:dyDescent="0.2">
      <c r="KE20215" s="69"/>
    </row>
    <row r="20218" spans="291:291" x14ac:dyDescent="0.2">
      <c r="KE20218" s="69"/>
    </row>
    <row r="20219" spans="291:291" x14ac:dyDescent="0.2">
      <c r="KE20219" s="69"/>
    </row>
    <row r="20220" spans="291:291" x14ac:dyDescent="0.2">
      <c r="KE20220" s="69"/>
    </row>
    <row r="20221" spans="291:291" x14ac:dyDescent="0.2">
      <c r="KE20221" s="69"/>
    </row>
    <row r="20222" spans="291:291" x14ac:dyDescent="0.2">
      <c r="KE20222" s="69"/>
    </row>
    <row r="20223" spans="291:291" x14ac:dyDescent="0.2">
      <c r="KE20223" s="69"/>
    </row>
    <row r="20224" spans="291:291" x14ac:dyDescent="0.2">
      <c r="KE20224" s="69"/>
    </row>
    <row r="20225" spans="291:291" x14ac:dyDescent="0.2">
      <c r="KE20225" s="69"/>
    </row>
    <row r="20226" spans="291:291" x14ac:dyDescent="0.2">
      <c r="KE20226" s="69"/>
    </row>
    <row r="20227" spans="291:291" x14ac:dyDescent="0.2">
      <c r="KE20227" s="69"/>
    </row>
    <row r="20228" spans="291:291" x14ac:dyDescent="0.2">
      <c r="KE20228" s="69"/>
    </row>
    <row r="20229" spans="291:291" x14ac:dyDescent="0.2">
      <c r="KE20229" s="69"/>
    </row>
    <row r="20230" spans="291:291" x14ac:dyDescent="0.2">
      <c r="KE20230" s="69"/>
    </row>
    <row r="20248" spans="291:291" x14ac:dyDescent="0.2">
      <c r="KE20248" s="69"/>
    </row>
    <row r="20302" spans="291:291" x14ac:dyDescent="0.2">
      <c r="KE20302" s="69"/>
    </row>
    <row r="20429" spans="291:291" x14ac:dyDescent="0.2">
      <c r="KE20429" s="69"/>
    </row>
    <row r="20431" spans="291:291" x14ac:dyDescent="0.2">
      <c r="KE20431" s="69"/>
    </row>
    <row r="20442" spans="291:291" x14ac:dyDescent="0.2">
      <c r="KE20442" s="69"/>
    </row>
    <row r="20450" spans="291:291" x14ac:dyDescent="0.2">
      <c r="KE20450" s="69"/>
    </row>
    <row r="20451" spans="291:291" x14ac:dyDescent="0.2">
      <c r="KE20451" s="69"/>
    </row>
    <row r="20452" spans="291:291" x14ac:dyDescent="0.2">
      <c r="KE20452" s="69"/>
    </row>
    <row r="20453" spans="291:291" x14ac:dyDescent="0.2">
      <c r="KE20453" s="69"/>
    </row>
    <row r="20454" spans="291:291" x14ac:dyDescent="0.2">
      <c r="KE20454" s="69"/>
    </row>
    <row r="20455" spans="291:291" x14ac:dyDescent="0.2">
      <c r="KE20455" s="69"/>
    </row>
    <row r="20456" spans="291:291" x14ac:dyDescent="0.2">
      <c r="KE20456" s="69"/>
    </row>
    <row r="20457" spans="291:291" x14ac:dyDescent="0.2">
      <c r="KE20457" s="69"/>
    </row>
    <row r="20458" spans="291:291" x14ac:dyDescent="0.2">
      <c r="KE20458" s="69"/>
    </row>
    <row r="20459" spans="291:291" x14ac:dyDescent="0.2">
      <c r="KE20459" s="69"/>
    </row>
    <row r="20460" spans="291:291" x14ac:dyDescent="0.2">
      <c r="KE20460" s="69"/>
    </row>
    <row r="20461" spans="291:291" x14ac:dyDescent="0.2">
      <c r="KE20461" s="69"/>
    </row>
    <row r="20462" spans="291:291" x14ac:dyDescent="0.2">
      <c r="KE20462" s="69"/>
    </row>
    <row r="20463" spans="291:291" x14ac:dyDescent="0.2">
      <c r="KE20463" s="69"/>
    </row>
    <row r="20464" spans="291:291" x14ac:dyDescent="0.2">
      <c r="KE20464" s="69"/>
    </row>
    <row r="20467" spans="291:291" x14ac:dyDescent="0.2">
      <c r="KE20467" s="69"/>
    </row>
    <row r="20468" spans="291:291" x14ac:dyDescent="0.2">
      <c r="KE20468" s="69"/>
    </row>
    <row r="20469" spans="291:291" x14ac:dyDescent="0.2">
      <c r="KE20469" s="69"/>
    </row>
    <row r="20472" spans="291:291" x14ac:dyDescent="0.2">
      <c r="KE20472" s="69"/>
    </row>
    <row r="20473" spans="291:291" x14ac:dyDescent="0.2">
      <c r="KE20473" s="69"/>
    </row>
    <row r="20474" spans="291:291" x14ac:dyDescent="0.2">
      <c r="KE20474" s="69"/>
    </row>
    <row r="20475" spans="291:291" x14ac:dyDescent="0.2">
      <c r="KE20475" s="69"/>
    </row>
    <row r="20476" spans="291:291" x14ac:dyDescent="0.2">
      <c r="KE20476" s="69"/>
    </row>
    <row r="20477" spans="291:291" x14ac:dyDescent="0.2">
      <c r="KE20477" s="69"/>
    </row>
    <row r="20478" spans="291:291" x14ac:dyDescent="0.2">
      <c r="KE20478" s="69"/>
    </row>
    <row r="20483" spans="291:291" x14ac:dyDescent="0.2">
      <c r="KE20483" s="69"/>
    </row>
    <row r="20484" spans="291:291" x14ac:dyDescent="0.2">
      <c r="KE20484" s="69"/>
    </row>
    <row r="20485" spans="291:291" x14ac:dyDescent="0.2">
      <c r="KE20485" s="69"/>
    </row>
    <row r="20486" spans="291:291" x14ac:dyDescent="0.2">
      <c r="KE20486" s="69"/>
    </row>
    <row r="20487" spans="291:291" x14ac:dyDescent="0.2">
      <c r="KE20487" s="69"/>
    </row>
    <row r="20488" spans="291:291" x14ac:dyDescent="0.2">
      <c r="KE20488" s="69"/>
    </row>
    <row r="20489" spans="291:291" x14ac:dyDescent="0.2">
      <c r="KE20489" s="69"/>
    </row>
    <row r="20490" spans="291:291" x14ac:dyDescent="0.2">
      <c r="KE20490" s="69"/>
    </row>
    <row r="20491" spans="291:291" x14ac:dyDescent="0.2">
      <c r="KE20491" s="69"/>
    </row>
    <row r="20492" spans="291:291" x14ac:dyDescent="0.2">
      <c r="KE20492" s="69"/>
    </row>
    <row r="20493" spans="291:291" x14ac:dyDescent="0.2">
      <c r="KE20493" s="69"/>
    </row>
    <row r="20494" spans="291:291" x14ac:dyDescent="0.2">
      <c r="KE20494" s="69"/>
    </row>
    <row r="20495" spans="291:291" x14ac:dyDescent="0.2">
      <c r="KE20495" s="69"/>
    </row>
    <row r="20496" spans="291:291" x14ac:dyDescent="0.2">
      <c r="KE20496" s="69"/>
    </row>
    <row r="20497" spans="291:291" x14ac:dyDescent="0.2">
      <c r="KE20497" s="69"/>
    </row>
    <row r="20498" spans="291:291" x14ac:dyDescent="0.2">
      <c r="KE20498" s="69"/>
    </row>
    <row r="20499" spans="291:291" x14ac:dyDescent="0.2">
      <c r="KE20499" s="69"/>
    </row>
    <row r="20504" spans="291:291" x14ac:dyDescent="0.2">
      <c r="KE20504" s="69"/>
    </row>
    <row r="20505" spans="291:291" x14ac:dyDescent="0.2">
      <c r="KE20505" s="69"/>
    </row>
    <row r="20506" spans="291:291" x14ac:dyDescent="0.2">
      <c r="KE20506" s="69"/>
    </row>
    <row r="20507" spans="291:291" x14ac:dyDescent="0.2">
      <c r="KE20507" s="69"/>
    </row>
    <row r="20508" spans="291:291" x14ac:dyDescent="0.2">
      <c r="KE20508" s="69"/>
    </row>
    <row r="20509" spans="291:291" x14ac:dyDescent="0.2">
      <c r="KE20509" s="69"/>
    </row>
    <row r="20510" spans="291:291" x14ac:dyDescent="0.2">
      <c r="KE20510" s="69"/>
    </row>
    <row r="20511" spans="291:291" x14ac:dyDescent="0.2">
      <c r="KE20511" s="69"/>
    </row>
    <row r="20512" spans="291:291" x14ac:dyDescent="0.2">
      <c r="KE20512" s="69"/>
    </row>
    <row r="20543" spans="291:291" x14ac:dyDescent="0.2">
      <c r="KE20543" s="69"/>
    </row>
    <row r="20547" spans="291:291" x14ac:dyDescent="0.2">
      <c r="KE20547" s="69"/>
    </row>
    <row r="20549" spans="291:291" x14ac:dyDescent="0.2">
      <c r="KE20549" s="69"/>
    </row>
    <row r="20551" spans="291:291" x14ac:dyDescent="0.2">
      <c r="KE20551" s="69"/>
    </row>
    <row r="20553" spans="291:291" x14ac:dyDescent="0.2">
      <c r="KE20553" s="69"/>
    </row>
    <row r="20554" spans="291:291" x14ac:dyDescent="0.2">
      <c r="KE20554" s="69"/>
    </row>
    <row r="20557" spans="291:291" x14ac:dyDescent="0.2">
      <c r="KE20557" s="69"/>
    </row>
    <row r="20558" spans="291:291" x14ac:dyDescent="0.2">
      <c r="KE20558" s="69"/>
    </row>
    <row r="20559" spans="291:291" x14ac:dyDescent="0.2">
      <c r="KE20559" s="69"/>
    </row>
    <row r="20560" spans="291:291" x14ac:dyDescent="0.2">
      <c r="KE20560" s="69"/>
    </row>
    <row r="20561" spans="291:291" x14ac:dyDescent="0.2">
      <c r="KE20561" s="69"/>
    </row>
    <row r="20562" spans="291:291" x14ac:dyDescent="0.2">
      <c r="KE20562" s="69"/>
    </row>
    <row r="20563" spans="291:291" x14ac:dyDescent="0.2">
      <c r="KE20563" s="69"/>
    </row>
    <row r="20571" spans="291:291" x14ac:dyDescent="0.2">
      <c r="KE20571" s="69"/>
    </row>
    <row r="20596" spans="291:291" x14ac:dyDescent="0.2">
      <c r="KE20596" s="69"/>
    </row>
    <row r="20598" spans="291:291" x14ac:dyDescent="0.2">
      <c r="KE20598" s="69"/>
    </row>
    <row r="20601" spans="291:291" x14ac:dyDescent="0.2">
      <c r="KE20601" s="69"/>
    </row>
    <row r="20602" spans="291:291" x14ac:dyDescent="0.2">
      <c r="KE20602" s="69"/>
    </row>
    <row r="20603" spans="291:291" x14ac:dyDescent="0.2">
      <c r="KE20603" s="69"/>
    </row>
    <row r="20604" spans="291:291" x14ac:dyDescent="0.2">
      <c r="KE20604" s="69"/>
    </row>
    <row r="20607" spans="291:291" x14ac:dyDescent="0.2">
      <c r="KE20607" s="69"/>
    </row>
    <row r="20608" spans="291:291" x14ac:dyDescent="0.2">
      <c r="KE20608" s="69"/>
    </row>
    <row r="20611" spans="291:291" x14ac:dyDescent="0.2">
      <c r="KE20611" s="69"/>
    </row>
    <row r="20614" spans="291:291" x14ac:dyDescent="0.2">
      <c r="KE20614" s="69"/>
    </row>
    <row r="20617" spans="291:291" x14ac:dyDescent="0.2">
      <c r="KE20617" s="69"/>
    </row>
    <row r="20618" spans="291:291" x14ac:dyDescent="0.2">
      <c r="KE20618" s="69"/>
    </row>
    <row r="20623" spans="291:291" x14ac:dyDescent="0.2">
      <c r="KE20623" s="69"/>
    </row>
    <row r="20624" spans="291:291" x14ac:dyDescent="0.2">
      <c r="KE20624" s="69"/>
    </row>
    <row r="20630" spans="291:291" x14ac:dyDescent="0.2">
      <c r="KE20630" s="69"/>
    </row>
    <row r="20635" spans="291:291" x14ac:dyDescent="0.2">
      <c r="KE20635" s="69"/>
    </row>
    <row r="20638" spans="291:291" x14ac:dyDescent="0.2">
      <c r="KE20638" s="69"/>
    </row>
    <row r="20639" spans="291:291" x14ac:dyDescent="0.2">
      <c r="KE20639" s="69"/>
    </row>
    <row r="20640" spans="291:291" x14ac:dyDescent="0.2">
      <c r="KE20640" s="69"/>
    </row>
    <row r="20641" spans="291:291" x14ac:dyDescent="0.2">
      <c r="KE20641" s="69"/>
    </row>
    <row r="20644" spans="291:291" x14ac:dyDescent="0.2">
      <c r="KE20644" s="69"/>
    </row>
    <row r="20645" spans="291:291" x14ac:dyDescent="0.2">
      <c r="KE20645" s="69"/>
    </row>
    <row r="20647" spans="291:291" x14ac:dyDescent="0.2">
      <c r="KE20647" s="69"/>
    </row>
    <row r="20650" spans="291:291" x14ac:dyDescent="0.2">
      <c r="KE20650" s="69"/>
    </row>
    <row r="20652" spans="291:291" x14ac:dyDescent="0.2">
      <c r="KE20652" s="69"/>
    </row>
    <row r="20653" spans="291:291" x14ac:dyDescent="0.2">
      <c r="KE20653" s="69"/>
    </row>
    <row r="20658" spans="291:291" x14ac:dyDescent="0.2">
      <c r="KE20658" s="69"/>
    </row>
    <row r="20663" spans="291:291" x14ac:dyDescent="0.2">
      <c r="KE20663" s="69"/>
    </row>
    <row r="20664" spans="291:291" x14ac:dyDescent="0.2">
      <c r="KE20664" s="69"/>
    </row>
    <row r="20667" spans="291:291" x14ac:dyDescent="0.2">
      <c r="KE20667" s="69"/>
    </row>
    <row r="20669" spans="291:291" x14ac:dyDescent="0.2">
      <c r="KE20669" s="69"/>
    </row>
    <row r="20674" spans="291:291" x14ac:dyDescent="0.2">
      <c r="KE20674" s="69"/>
    </row>
    <row r="20676" spans="291:291" x14ac:dyDescent="0.2">
      <c r="KE20676" s="69"/>
    </row>
    <row r="20680" spans="291:291" x14ac:dyDescent="0.2">
      <c r="KE20680" s="69"/>
    </row>
    <row r="20683" spans="291:291" x14ac:dyDescent="0.2">
      <c r="KE20683" s="69"/>
    </row>
    <row r="20684" spans="291:291" x14ac:dyDescent="0.2">
      <c r="KE20684" s="69"/>
    </row>
    <row r="20687" spans="291:291" x14ac:dyDescent="0.2">
      <c r="KE20687" s="69"/>
    </row>
    <row r="20688" spans="291:291" x14ac:dyDescent="0.2">
      <c r="KE20688" s="69"/>
    </row>
    <row r="20689" spans="291:291" x14ac:dyDescent="0.2">
      <c r="KE20689" s="69"/>
    </row>
    <row r="20692" spans="291:291" x14ac:dyDescent="0.2">
      <c r="KE20692" s="69"/>
    </row>
    <row r="20693" spans="291:291" x14ac:dyDescent="0.2">
      <c r="KE20693" s="69"/>
    </row>
    <row r="20694" spans="291:291" x14ac:dyDescent="0.2">
      <c r="KE20694" s="69"/>
    </row>
    <row r="20697" spans="291:291" x14ac:dyDescent="0.2">
      <c r="KE20697" s="69"/>
    </row>
    <row r="20698" spans="291:291" x14ac:dyDescent="0.2">
      <c r="KE20698" s="69"/>
    </row>
    <row r="20699" spans="291:291" x14ac:dyDescent="0.2">
      <c r="KE20699" s="69"/>
    </row>
    <row r="20700" spans="291:291" x14ac:dyDescent="0.2">
      <c r="KE20700" s="69"/>
    </row>
    <row r="20701" spans="291:291" x14ac:dyDescent="0.2">
      <c r="KE20701" s="69"/>
    </row>
    <row r="20702" spans="291:291" x14ac:dyDescent="0.2">
      <c r="KE20702" s="69"/>
    </row>
    <row r="20706" spans="291:291" x14ac:dyDescent="0.2">
      <c r="KE20706" s="69"/>
    </row>
    <row r="20707" spans="291:291" x14ac:dyDescent="0.2">
      <c r="KE20707" s="69"/>
    </row>
    <row r="20710" spans="291:291" x14ac:dyDescent="0.2">
      <c r="KE20710" s="69"/>
    </row>
    <row r="20711" spans="291:291" x14ac:dyDescent="0.2">
      <c r="KE20711" s="69"/>
    </row>
    <row r="20712" spans="291:291" x14ac:dyDescent="0.2">
      <c r="KE20712" s="69"/>
    </row>
    <row r="20713" spans="291:291" x14ac:dyDescent="0.2">
      <c r="KE20713" s="69"/>
    </row>
    <row r="20714" spans="291:291" x14ac:dyDescent="0.2">
      <c r="KE20714" s="69"/>
    </row>
    <row r="20715" spans="291:291" x14ac:dyDescent="0.2">
      <c r="KE20715" s="69"/>
    </row>
    <row r="20716" spans="291:291" x14ac:dyDescent="0.2">
      <c r="KE20716" s="69"/>
    </row>
    <row r="20717" spans="291:291" x14ac:dyDescent="0.2">
      <c r="KE20717" s="69"/>
    </row>
    <row r="20718" spans="291:291" x14ac:dyDescent="0.2">
      <c r="KE20718" s="69"/>
    </row>
    <row r="20719" spans="291:291" x14ac:dyDescent="0.2">
      <c r="KE20719" s="69"/>
    </row>
    <row r="20720" spans="291:291" x14ac:dyDescent="0.2">
      <c r="KE20720" s="69"/>
    </row>
    <row r="20721" spans="291:291" x14ac:dyDescent="0.2">
      <c r="KE20721" s="69"/>
    </row>
    <row r="20722" spans="291:291" x14ac:dyDescent="0.2">
      <c r="KE20722" s="69"/>
    </row>
    <row r="20723" spans="291:291" x14ac:dyDescent="0.2">
      <c r="KE20723" s="69"/>
    </row>
    <row r="20724" spans="291:291" x14ac:dyDescent="0.2">
      <c r="KE20724" s="69"/>
    </row>
    <row r="20739" spans="291:291" x14ac:dyDescent="0.2">
      <c r="KE20739" s="69"/>
    </row>
    <row r="20741" spans="291:291" x14ac:dyDescent="0.2">
      <c r="KE20741" s="69"/>
    </row>
    <row r="20745" spans="291:291" x14ac:dyDescent="0.2">
      <c r="KE20745" s="69"/>
    </row>
    <row r="20746" spans="291:291" x14ac:dyDescent="0.2">
      <c r="KE20746" s="69"/>
    </row>
    <row r="20750" spans="291:291" x14ac:dyDescent="0.2">
      <c r="KE20750" s="69"/>
    </row>
    <row r="20751" spans="291:291" x14ac:dyDescent="0.2">
      <c r="KE20751" s="69"/>
    </row>
    <row r="20752" spans="291:291" x14ac:dyDescent="0.2">
      <c r="KE20752" s="69"/>
    </row>
    <row r="20754" spans="291:291" x14ac:dyDescent="0.2">
      <c r="KE20754" s="69"/>
    </row>
    <row r="20757" spans="291:291" x14ac:dyDescent="0.2">
      <c r="KE20757" s="69"/>
    </row>
    <row r="20759" spans="291:291" x14ac:dyDescent="0.2">
      <c r="KE20759" s="69"/>
    </row>
    <row r="20764" spans="291:291" x14ac:dyDescent="0.2">
      <c r="KE20764" s="69"/>
    </row>
    <row r="20765" spans="291:291" x14ac:dyDescent="0.2">
      <c r="KE20765" s="69"/>
    </row>
    <row r="20768" spans="291:291" x14ac:dyDescent="0.2">
      <c r="KE20768" s="69"/>
    </row>
    <row r="20769" spans="291:291" x14ac:dyDescent="0.2">
      <c r="KE20769" s="69"/>
    </row>
    <row r="20772" spans="291:291" x14ac:dyDescent="0.2">
      <c r="KE20772" s="69"/>
    </row>
    <row r="20773" spans="291:291" x14ac:dyDescent="0.2">
      <c r="KE20773" s="69"/>
    </row>
    <row r="20774" spans="291:291" x14ac:dyDescent="0.2">
      <c r="KE20774" s="69"/>
    </row>
    <row r="20775" spans="291:291" x14ac:dyDescent="0.2">
      <c r="KE20775" s="69"/>
    </row>
    <row r="20776" spans="291:291" x14ac:dyDescent="0.2">
      <c r="KE20776" s="69"/>
    </row>
    <row r="20777" spans="291:291" x14ac:dyDescent="0.2">
      <c r="KE20777" s="69"/>
    </row>
    <row r="20778" spans="291:291" x14ac:dyDescent="0.2">
      <c r="KE20778" s="69"/>
    </row>
    <row r="20779" spans="291:291" x14ac:dyDescent="0.2">
      <c r="KE20779" s="69"/>
    </row>
    <row r="20780" spans="291:291" x14ac:dyDescent="0.2">
      <c r="KE20780" s="69"/>
    </row>
    <row r="20781" spans="291:291" x14ac:dyDescent="0.2">
      <c r="KE20781" s="69"/>
    </row>
    <row r="20782" spans="291:291" x14ac:dyDescent="0.2">
      <c r="KE20782" s="69"/>
    </row>
    <row r="20783" spans="291:291" x14ac:dyDescent="0.2">
      <c r="KE20783" s="69"/>
    </row>
    <row r="20785" spans="291:291" x14ac:dyDescent="0.2">
      <c r="KE20785" s="69"/>
    </row>
    <row r="20786" spans="291:291" x14ac:dyDescent="0.2">
      <c r="KE20786" s="69"/>
    </row>
    <row r="20787" spans="291:291" x14ac:dyDescent="0.2">
      <c r="KE20787" s="69"/>
    </row>
    <row r="20788" spans="291:291" x14ac:dyDescent="0.2">
      <c r="KE20788" s="69"/>
    </row>
    <row r="20789" spans="291:291" x14ac:dyDescent="0.2">
      <c r="KE20789" s="69"/>
    </row>
    <row r="20790" spans="291:291" x14ac:dyDescent="0.2">
      <c r="KE20790" s="69"/>
    </row>
    <row r="20793" spans="291:291" x14ac:dyDescent="0.2">
      <c r="KE20793" s="69"/>
    </row>
    <row r="20795" spans="291:291" x14ac:dyDescent="0.2">
      <c r="KE20795" s="69"/>
    </row>
    <row r="20796" spans="291:291" x14ac:dyDescent="0.2">
      <c r="KE20796" s="69"/>
    </row>
    <row r="20797" spans="291:291" x14ac:dyDescent="0.2">
      <c r="KE20797" s="69"/>
    </row>
    <row r="20799" spans="291:291" x14ac:dyDescent="0.2">
      <c r="KE20799" s="69"/>
    </row>
    <row r="20800" spans="291:291" x14ac:dyDescent="0.2">
      <c r="KE20800" s="69"/>
    </row>
    <row r="20801" spans="291:291" x14ac:dyDescent="0.2">
      <c r="KE20801" s="69"/>
    </row>
    <row r="20802" spans="291:291" x14ac:dyDescent="0.2">
      <c r="KE20802" s="69"/>
    </row>
    <row r="20803" spans="291:291" x14ac:dyDescent="0.2">
      <c r="KE20803" s="69"/>
    </row>
    <row r="20804" spans="291:291" x14ac:dyDescent="0.2">
      <c r="KE20804" s="69"/>
    </row>
    <row r="20805" spans="291:291" x14ac:dyDescent="0.2">
      <c r="KE20805" s="69"/>
    </row>
    <row r="20806" spans="291:291" x14ac:dyDescent="0.2">
      <c r="KE20806" s="69"/>
    </row>
    <row r="20807" spans="291:291" x14ac:dyDescent="0.2">
      <c r="KE20807" s="69"/>
    </row>
    <row r="20808" spans="291:291" x14ac:dyDescent="0.2">
      <c r="KE20808" s="69"/>
    </row>
    <row r="20810" spans="291:291" x14ac:dyDescent="0.2">
      <c r="KE20810" s="69"/>
    </row>
    <row r="20813" spans="291:291" x14ac:dyDescent="0.2">
      <c r="KE20813" s="69"/>
    </row>
    <row r="20814" spans="291:291" x14ac:dyDescent="0.2">
      <c r="KE20814" s="69"/>
    </row>
    <row r="20817" spans="291:291" x14ac:dyDescent="0.2">
      <c r="KE20817" s="69"/>
    </row>
    <row r="20818" spans="291:291" x14ac:dyDescent="0.2">
      <c r="KE20818" s="69"/>
    </row>
    <row r="20819" spans="291:291" x14ac:dyDescent="0.2">
      <c r="KE20819" s="69"/>
    </row>
    <row r="20822" spans="291:291" x14ac:dyDescent="0.2">
      <c r="KE20822" s="69"/>
    </row>
    <row r="20823" spans="291:291" x14ac:dyDescent="0.2">
      <c r="KE20823" s="69"/>
    </row>
    <row r="20824" spans="291:291" x14ac:dyDescent="0.2">
      <c r="KE20824" s="69"/>
    </row>
    <row r="20827" spans="291:291" x14ac:dyDescent="0.2">
      <c r="KE20827" s="69"/>
    </row>
    <row r="20828" spans="291:291" x14ac:dyDescent="0.2">
      <c r="KE20828" s="69"/>
    </row>
    <row r="20831" spans="291:291" x14ac:dyDescent="0.2">
      <c r="KE20831" s="69"/>
    </row>
    <row r="20832" spans="291:291" x14ac:dyDescent="0.2">
      <c r="KE20832" s="69"/>
    </row>
    <row r="20833" spans="291:291" x14ac:dyDescent="0.2">
      <c r="KE20833" s="69"/>
    </row>
    <row r="20836" spans="291:291" x14ac:dyDescent="0.2">
      <c r="KE20836" s="69"/>
    </row>
    <row r="20837" spans="291:291" x14ac:dyDescent="0.2">
      <c r="KE20837" s="69"/>
    </row>
    <row r="20840" spans="291:291" x14ac:dyDescent="0.2">
      <c r="KE20840" s="69"/>
    </row>
    <row r="20841" spans="291:291" x14ac:dyDescent="0.2">
      <c r="KE20841" s="69"/>
    </row>
    <row r="20842" spans="291:291" x14ac:dyDescent="0.2">
      <c r="KE20842" s="69"/>
    </row>
    <row r="20843" spans="291:291" x14ac:dyDescent="0.2">
      <c r="KE20843" s="69"/>
    </row>
    <row r="20845" spans="291:291" x14ac:dyDescent="0.2">
      <c r="KE20845" s="69"/>
    </row>
    <row r="20846" spans="291:291" x14ac:dyDescent="0.2">
      <c r="KE20846" s="69"/>
    </row>
    <row r="20849" spans="291:291" x14ac:dyDescent="0.2">
      <c r="KE20849" s="69"/>
    </row>
    <row r="20850" spans="291:291" x14ac:dyDescent="0.2">
      <c r="KE20850" s="69"/>
    </row>
    <row r="20851" spans="291:291" x14ac:dyDescent="0.2">
      <c r="KE20851" s="69"/>
    </row>
    <row r="20854" spans="291:291" x14ac:dyDescent="0.2">
      <c r="KE20854" s="69"/>
    </row>
    <row r="20857" spans="291:291" x14ac:dyDescent="0.2">
      <c r="KE20857" s="69"/>
    </row>
    <row r="20861" spans="291:291" x14ac:dyDescent="0.2">
      <c r="KE20861" s="69"/>
    </row>
    <row r="20862" spans="291:291" x14ac:dyDescent="0.2">
      <c r="KE20862" s="69"/>
    </row>
    <row r="20864" spans="291:291" x14ac:dyDescent="0.2">
      <c r="KE20864" s="69"/>
    </row>
    <row r="20865" spans="291:291" x14ac:dyDescent="0.2">
      <c r="KE20865" s="69"/>
    </row>
    <row r="20867" spans="291:291" x14ac:dyDescent="0.2">
      <c r="KE20867" s="69"/>
    </row>
    <row r="20868" spans="291:291" x14ac:dyDescent="0.2">
      <c r="KE20868" s="69"/>
    </row>
    <row r="20869" spans="291:291" x14ac:dyDescent="0.2">
      <c r="KE20869" s="69"/>
    </row>
    <row r="20870" spans="291:291" x14ac:dyDescent="0.2">
      <c r="KE20870" s="69"/>
    </row>
    <row r="20871" spans="291:291" x14ac:dyDescent="0.2">
      <c r="KE20871" s="69"/>
    </row>
    <row r="20872" spans="291:291" x14ac:dyDescent="0.2">
      <c r="KE20872" s="69"/>
    </row>
    <row r="20873" spans="291:291" x14ac:dyDescent="0.2">
      <c r="KE20873" s="69"/>
    </row>
    <row r="20874" spans="291:291" x14ac:dyDescent="0.2">
      <c r="KE20874" s="69"/>
    </row>
    <row r="20875" spans="291:291" x14ac:dyDescent="0.2">
      <c r="KE20875" s="69"/>
    </row>
    <row r="20876" spans="291:291" x14ac:dyDescent="0.2">
      <c r="KE20876" s="69"/>
    </row>
    <row r="20882" spans="291:291" x14ac:dyDescent="0.2">
      <c r="KE20882" s="69"/>
    </row>
    <row r="20886" spans="291:291" x14ac:dyDescent="0.2">
      <c r="KE20886" s="69"/>
    </row>
    <row r="20905" spans="291:291" x14ac:dyDescent="0.2">
      <c r="KE20905" s="69"/>
    </row>
    <row r="20911" spans="291:291" x14ac:dyDescent="0.2">
      <c r="KE20911" s="69"/>
    </row>
    <row r="20918" spans="291:291" x14ac:dyDescent="0.2">
      <c r="KE20918" s="69"/>
    </row>
    <row r="20928" spans="291:291" x14ac:dyDescent="0.2">
      <c r="KE20928" s="69"/>
    </row>
    <row r="20932" spans="291:291" x14ac:dyDescent="0.2">
      <c r="KE20932" s="69"/>
    </row>
    <row r="20936" spans="291:291" x14ac:dyDescent="0.2">
      <c r="KE20936" s="69"/>
    </row>
    <row r="20938" spans="291:291" x14ac:dyDescent="0.2">
      <c r="KE20938" s="69"/>
    </row>
    <row r="20939" spans="291:291" x14ac:dyDescent="0.2">
      <c r="KE20939" s="69"/>
    </row>
    <row r="20940" spans="291:291" x14ac:dyDescent="0.2">
      <c r="KE20940" s="69"/>
    </row>
    <row r="20941" spans="291:291" x14ac:dyDescent="0.2">
      <c r="KE20941" s="69"/>
    </row>
    <row r="20942" spans="291:291" x14ac:dyDescent="0.2">
      <c r="KE20942" s="69"/>
    </row>
    <row r="20943" spans="291:291" x14ac:dyDescent="0.2">
      <c r="KE20943" s="69"/>
    </row>
    <row r="20944" spans="291:291" x14ac:dyDescent="0.2">
      <c r="KE20944" s="69"/>
    </row>
    <row r="20945" spans="291:291" x14ac:dyDescent="0.2">
      <c r="KE20945" s="69"/>
    </row>
    <row r="20946" spans="291:291" x14ac:dyDescent="0.2">
      <c r="KE20946" s="69"/>
    </row>
    <row r="20947" spans="291:291" x14ac:dyDescent="0.2">
      <c r="KE20947" s="69"/>
    </row>
    <row r="20948" spans="291:291" x14ac:dyDescent="0.2">
      <c r="KE20948" s="69"/>
    </row>
    <row r="20950" spans="291:291" x14ac:dyDescent="0.2">
      <c r="KE20950" s="69"/>
    </row>
    <row r="20953" spans="291:291" x14ac:dyDescent="0.2">
      <c r="KE20953" s="69"/>
    </row>
    <row r="20954" spans="291:291" x14ac:dyDescent="0.2">
      <c r="KE20954" s="69"/>
    </row>
    <row r="20955" spans="291:291" x14ac:dyDescent="0.2">
      <c r="KE20955" s="69"/>
    </row>
    <row r="20958" spans="291:291" x14ac:dyDescent="0.2">
      <c r="KE20958" s="69"/>
    </row>
    <row r="20959" spans="291:291" x14ac:dyDescent="0.2">
      <c r="KE20959" s="69"/>
    </row>
    <row r="20960" spans="291:291" x14ac:dyDescent="0.2">
      <c r="KE20960" s="69"/>
    </row>
    <row r="20963" spans="291:291" x14ac:dyDescent="0.2">
      <c r="KE20963" s="69"/>
    </row>
    <row r="20964" spans="291:291" x14ac:dyDescent="0.2">
      <c r="KE20964" s="69"/>
    </row>
    <row r="20965" spans="291:291" x14ac:dyDescent="0.2">
      <c r="KE20965" s="69"/>
    </row>
    <row r="20968" spans="291:291" x14ac:dyDescent="0.2">
      <c r="KE20968" s="69"/>
    </row>
    <row r="20969" spans="291:291" x14ac:dyDescent="0.2">
      <c r="KE20969" s="69"/>
    </row>
    <row r="20970" spans="291:291" x14ac:dyDescent="0.2">
      <c r="KE20970" s="69"/>
    </row>
    <row r="20971" spans="291:291" x14ac:dyDescent="0.2">
      <c r="KE20971" s="69"/>
    </row>
    <row r="20972" spans="291:291" x14ac:dyDescent="0.2">
      <c r="KE20972" s="69"/>
    </row>
    <row r="20981" spans="291:291" x14ac:dyDescent="0.2">
      <c r="KE20981" s="69"/>
    </row>
    <row r="20982" spans="291:291" x14ac:dyDescent="0.2">
      <c r="KE20982" s="69"/>
    </row>
    <row r="20983" spans="291:291" x14ac:dyDescent="0.2">
      <c r="KE20983" s="69"/>
    </row>
    <row r="20984" spans="291:291" x14ac:dyDescent="0.2">
      <c r="KE20984" s="69"/>
    </row>
    <row r="20985" spans="291:291" x14ac:dyDescent="0.2">
      <c r="KE20985" s="69"/>
    </row>
    <row r="20986" spans="291:291" x14ac:dyDescent="0.2">
      <c r="KE20986" s="69"/>
    </row>
    <row r="20989" spans="291:291" x14ac:dyDescent="0.2">
      <c r="KE20989" s="69"/>
    </row>
    <row r="20990" spans="291:291" x14ac:dyDescent="0.2">
      <c r="KE20990" s="69"/>
    </row>
    <row r="20991" spans="291:291" x14ac:dyDescent="0.2">
      <c r="KE20991" s="69"/>
    </row>
    <row r="20992" spans="291:291" x14ac:dyDescent="0.2">
      <c r="KE20992" s="69"/>
    </row>
    <row r="20993" spans="291:291" x14ac:dyDescent="0.2">
      <c r="KE20993" s="69"/>
    </row>
    <row r="20994" spans="291:291" x14ac:dyDescent="0.2">
      <c r="KE20994" s="69"/>
    </row>
    <row r="20995" spans="291:291" x14ac:dyDescent="0.2">
      <c r="KE20995" s="69"/>
    </row>
    <row r="20996" spans="291:291" x14ac:dyDescent="0.2">
      <c r="KE20996" s="69"/>
    </row>
    <row r="20997" spans="291:291" x14ac:dyDescent="0.2">
      <c r="KE20997" s="69"/>
    </row>
    <row r="20998" spans="291:291" x14ac:dyDescent="0.2">
      <c r="KE20998" s="69"/>
    </row>
    <row r="20999" spans="291:291" x14ac:dyDescent="0.2">
      <c r="KE20999" s="69"/>
    </row>
    <row r="21000" spans="291:291" x14ac:dyDescent="0.2">
      <c r="KE21000" s="69"/>
    </row>
    <row r="21001" spans="291:291" x14ac:dyDescent="0.2">
      <c r="KE21001" s="69"/>
    </row>
    <row r="21002" spans="291:291" x14ac:dyDescent="0.2">
      <c r="KE21002" s="69"/>
    </row>
    <row r="21003" spans="291:291" x14ac:dyDescent="0.2">
      <c r="KE21003" s="69"/>
    </row>
    <row r="21004" spans="291:291" x14ac:dyDescent="0.2">
      <c r="KE21004" s="69"/>
    </row>
    <row r="21005" spans="291:291" x14ac:dyDescent="0.2">
      <c r="KE21005" s="69"/>
    </row>
    <row r="21006" spans="291:291" x14ac:dyDescent="0.2">
      <c r="KE21006" s="69"/>
    </row>
    <row r="21007" spans="291:291" x14ac:dyDescent="0.2">
      <c r="KE21007" s="69"/>
    </row>
    <row r="21023" spans="291:291" x14ac:dyDescent="0.2">
      <c r="KE21023" s="69"/>
    </row>
    <row r="21026" spans="291:291" x14ac:dyDescent="0.2">
      <c r="KE21026" s="69"/>
    </row>
    <row r="21031" spans="291:291" x14ac:dyDescent="0.2">
      <c r="KE21031" s="69"/>
    </row>
    <row r="21041" spans="291:291" x14ac:dyDescent="0.2">
      <c r="KE21041" s="69"/>
    </row>
    <row r="21048" spans="291:291" x14ac:dyDescent="0.2">
      <c r="KE21048" s="69"/>
    </row>
    <row r="21060" spans="291:291" x14ac:dyDescent="0.2">
      <c r="KE21060" s="69"/>
    </row>
    <row r="21061" spans="291:291" x14ac:dyDescent="0.2">
      <c r="KE21061" s="69"/>
    </row>
    <row r="21070" spans="291:291" x14ac:dyDescent="0.2">
      <c r="KE21070" s="69"/>
    </row>
    <row r="21072" spans="291:291" x14ac:dyDescent="0.2">
      <c r="KE21072" s="69"/>
    </row>
    <row r="21097" spans="291:291" x14ac:dyDescent="0.2">
      <c r="KE21097" s="69"/>
    </row>
    <row r="21098" spans="291:291" x14ac:dyDescent="0.2">
      <c r="KE21098" s="69"/>
    </row>
    <row r="21101" spans="291:291" x14ac:dyDescent="0.2">
      <c r="KE21101" s="69"/>
    </row>
    <row r="21110" spans="291:291" x14ac:dyDescent="0.2">
      <c r="KE21110" s="69"/>
    </row>
    <row r="21112" spans="291:291" x14ac:dyDescent="0.2">
      <c r="KE21112" s="69"/>
    </row>
    <row r="21113" spans="291:291" x14ac:dyDescent="0.2">
      <c r="KE21113" s="69"/>
    </row>
    <row r="21114" spans="291:291" x14ac:dyDescent="0.2">
      <c r="KE21114" s="69"/>
    </row>
    <row r="21115" spans="291:291" x14ac:dyDescent="0.2">
      <c r="KE21115" s="69"/>
    </row>
    <row r="21116" spans="291:291" x14ac:dyDescent="0.2">
      <c r="KE21116" s="69"/>
    </row>
    <row r="21117" spans="291:291" x14ac:dyDescent="0.2">
      <c r="KE21117" s="69"/>
    </row>
    <row r="21118" spans="291:291" x14ac:dyDescent="0.2">
      <c r="KE21118" s="69"/>
    </row>
    <row r="21119" spans="291:291" x14ac:dyDescent="0.2">
      <c r="KE21119" s="69"/>
    </row>
    <row r="21120" spans="291:291" x14ac:dyDescent="0.2">
      <c r="KE21120" s="69"/>
    </row>
    <row r="21121" spans="291:291" x14ac:dyDescent="0.2">
      <c r="KE21121" s="69"/>
    </row>
    <row r="21122" spans="291:291" x14ac:dyDescent="0.2">
      <c r="KE21122" s="69"/>
    </row>
    <row r="21123" spans="291:291" x14ac:dyDescent="0.2">
      <c r="KE21123" s="69"/>
    </row>
    <row r="21124" spans="291:291" x14ac:dyDescent="0.2">
      <c r="KE21124" s="69"/>
    </row>
    <row r="21125" spans="291:291" x14ac:dyDescent="0.2">
      <c r="KE21125" s="69"/>
    </row>
    <row r="21126" spans="291:291" x14ac:dyDescent="0.2">
      <c r="KE21126" s="69"/>
    </row>
    <row r="21127" spans="291:291" x14ac:dyDescent="0.2">
      <c r="KE21127" s="69"/>
    </row>
    <row r="21128" spans="291:291" x14ac:dyDescent="0.2">
      <c r="KE21128" s="69"/>
    </row>
    <row r="21129" spans="291:291" x14ac:dyDescent="0.2">
      <c r="KE21129" s="69"/>
    </row>
    <row r="21130" spans="291:291" x14ac:dyDescent="0.2">
      <c r="KE21130" s="69"/>
    </row>
    <row r="21131" spans="291:291" x14ac:dyDescent="0.2">
      <c r="KE21131" s="69"/>
    </row>
    <row r="21132" spans="291:291" x14ac:dyDescent="0.2">
      <c r="KE21132" s="69"/>
    </row>
    <row r="21133" spans="291:291" x14ac:dyDescent="0.2">
      <c r="KE21133" s="69"/>
    </row>
    <row r="21154" spans="291:291" x14ac:dyDescent="0.2">
      <c r="KE21154" s="69"/>
    </row>
    <row r="21158" spans="291:291" x14ac:dyDescent="0.2">
      <c r="KE21158" s="69"/>
    </row>
    <row r="21159" spans="291:291" x14ac:dyDescent="0.2">
      <c r="KE21159" s="69"/>
    </row>
    <row r="21160" spans="291:291" x14ac:dyDescent="0.2">
      <c r="KE21160" s="69"/>
    </row>
    <row r="21165" spans="291:291" x14ac:dyDescent="0.2">
      <c r="KE21165" s="69"/>
    </row>
    <row r="21166" spans="291:291" x14ac:dyDescent="0.2">
      <c r="KE21166" s="69"/>
    </row>
    <row r="21167" spans="291:291" x14ac:dyDescent="0.2">
      <c r="KE21167" s="69"/>
    </row>
    <row r="21168" spans="291:291" x14ac:dyDescent="0.2">
      <c r="KE21168" s="69"/>
    </row>
    <row r="21169" spans="291:291" x14ac:dyDescent="0.2">
      <c r="KE21169" s="69"/>
    </row>
    <row r="21172" spans="291:291" x14ac:dyDescent="0.2">
      <c r="KE21172" s="69"/>
    </row>
    <row r="21173" spans="291:291" x14ac:dyDescent="0.2">
      <c r="KE21173" s="69"/>
    </row>
    <row r="21176" spans="291:291" x14ac:dyDescent="0.2">
      <c r="KE21176" s="69"/>
    </row>
    <row r="21179" spans="291:291" x14ac:dyDescent="0.2">
      <c r="KE21179" s="69"/>
    </row>
    <row r="21180" spans="291:291" x14ac:dyDescent="0.2">
      <c r="KE21180" s="69"/>
    </row>
    <row r="21181" spans="291:291" x14ac:dyDescent="0.2">
      <c r="KE21181" s="69"/>
    </row>
    <row r="21182" spans="291:291" x14ac:dyDescent="0.2">
      <c r="KE21182" s="69"/>
    </row>
    <row r="21183" spans="291:291" x14ac:dyDescent="0.2">
      <c r="KE21183" s="69"/>
    </row>
    <row r="21187" spans="291:291" x14ac:dyDescent="0.2">
      <c r="KE21187" s="69"/>
    </row>
    <row r="21188" spans="291:291" x14ac:dyDescent="0.2">
      <c r="KE21188" s="69"/>
    </row>
    <row r="21189" spans="291:291" x14ac:dyDescent="0.2">
      <c r="KE21189" s="69"/>
    </row>
    <row r="21190" spans="291:291" x14ac:dyDescent="0.2">
      <c r="KE21190" s="69"/>
    </row>
    <row r="21196" spans="291:291" x14ac:dyDescent="0.2">
      <c r="KE21196" s="69"/>
    </row>
    <row r="21198" spans="291:291" x14ac:dyDescent="0.2">
      <c r="KE21198" s="69"/>
    </row>
    <row r="21233" spans="291:291" x14ac:dyDescent="0.2">
      <c r="KE21233" s="69"/>
    </row>
    <row r="21237" spans="291:291" x14ac:dyDescent="0.2">
      <c r="KE21237" s="69"/>
    </row>
    <row r="21241" spans="291:291" x14ac:dyDescent="0.2">
      <c r="KE21241" s="69"/>
    </row>
    <row r="21250" spans="291:291" x14ac:dyDescent="0.2">
      <c r="KE21250" s="69"/>
    </row>
    <row r="21252" spans="291:291" x14ac:dyDescent="0.2">
      <c r="KE21252" s="69"/>
    </row>
    <row r="21253" spans="291:291" x14ac:dyDescent="0.2">
      <c r="KE21253" s="69"/>
    </row>
    <row r="21256" spans="291:291" x14ac:dyDescent="0.2">
      <c r="KE21256" s="69"/>
    </row>
    <row r="21257" spans="291:291" x14ac:dyDescent="0.2">
      <c r="KE21257" s="69"/>
    </row>
    <row r="21258" spans="291:291" x14ac:dyDescent="0.2">
      <c r="KE21258" s="69"/>
    </row>
    <row r="21259" spans="291:291" x14ac:dyDescent="0.2">
      <c r="KE21259" s="69"/>
    </row>
    <row r="21260" spans="291:291" x14ac:dyDescent="0.2">
      <c r="KE21260" s="69"/>
    </row>
    <row r="21261" spans="291:291" x14ac:dyDescent="0.2">
      <c r="KE21261" s="69"/>
    </row>
    <row r="21262" spans="291:291" x14ac:dyDescent="0.2">
      <c r="KE21262" s="69"/>
    </row>
    <row r="21263" spans="291:291" x14ac:dyDescent="0.2">
      <c r="KE21263" s="69"/>
    </row>
    <row r="21264" spans="291:291" x14ac:dyDescent="0.2">
      <c r="KE21264" s="69"/>
    </row>
    <row r="21265" spans="291:291" x14ac:dyDescent="0.2">
      <c r="KE21265" s="69"/>
    </row>
    <row r="21266" spans="291:291" x14ac:dyDescent="0.2">
      <c r="KE21266" s="69"/>
    </row>
    <row r="21267" spans="291:291" x14ac:dyDescent="0.2">
      <c r="KE21267" s="69"/>
    </row>
    <row r="21268" spans="291:291" x14ac:dyDescent="0.2">
      <c r="KE21268" s="69"/>
    </row>
    <row r="21274" spans="291:291" x14ac:dyDescent="0.2">
      <c r="KE21274" s="69"/>
    </row>
    <row r="21276" spans="291:291" x14ac:dyDescent="0.2">
      <c r="KE21276" s="69"/>
    </row>
    <row r="21363" spans="291:291" x14ac:dyDescent="0.2">
      <c r="KE21363" s="69"/>
    </row>
    <row r="21369" spans="291:291" x14ac:dyDescent="0.2">
      <c r="KE21369" s="69"/>
    </row>
    <row r="21401" spans="291:291" x14ac:dyDescent="0.2">
      <c r="KE21401" s="69"/>
    </row>
    <row r="21476" spans="291:291" x14ac:dyDescent="0.2">
      <c r="KE21476" s="69"/>
    </row>
    <row r="21504" spans="291:291" x14ac:dyDescent="0.2">
      <c r="KE21504" s="69"/>
    </row>
    <row r="21526" spans="291:291" x14ac:dyDescent="0.2">
      <c r="KE21526" s="69"/>
    </row>
    <row r="21531" spans="291:291" x14ac:dyDescent="0.2">
      <c r="KE21531" s="69"/>
    </row>
    <row r="21532" spans="291:291" x14ac:dyDescent="0.2">
      <c r="KE21532" s="69"/>
    </row>
    <row r="21533" spans="291:291" x14ac:dyDescent="0.2">
      <c r="KE21533" s="69"/>
    </row>
    <row r="21534" spans="291:291" x14ac:dyDescent="0.2">
      <c r="KE21534" s="69"/>
    </row>
    <row r="21535" spans="291:291" x14ac:dyDescent="0.2">
      <c r="KE21535" s="69"/>
    </row>
    <row r="21536" spans="291:291" x14ac:dyDescent="0.2">
      <c r="KE21536" s="69"/>
    </row>
    <row r="21537" spans="291:291" x14ac:dyDescent="0.2">
      <c r="KE21537" s="69"/>
    </row>
    <row r="21538" spans="291:291" x14ac:dyDescent="0.2">
      <c r="KE21538" s="69"/>
    </row>
    <row r="21539" spans="291:291" x14ac:dyDescent="0.2">
      <c r="KE21539" s="69"/>
    </row>
    <row r="21540" spans="291:291" x14ac:dyDescent="0.2">
      <c r="KE21540" s="69"/>
    </row>
    <row r="21541" spans="291:291" x14ac:dyDescent="0.2">
      <c r="KE21541" s="69"/>
    </row>
    <row r="21542" spans="291:291" x14ac:dyDescent="0.2">
      <c r="KE21542" s="69"/>
    </row>
    <row r="21543" spans="291:291" x14ac:dyDescent="0.2">
      <c r="KE21543" s="69"/>
    </row>
    <row r="21544" spans="291:291" x14ac:dyDescent="0.2">
      <c r="KE21544" s="69"/>
    </row>
    <row r="21545" spans="291:291" x14ac:dyDescent="0.2">
      <c r="KE21545" s="69"/>
    </row>
    <row r="21546" spans="291:291" x14ac:dyDescent="0.2">
      <c r="KE21546" s="69"/>
    </row>
    <row r="21547" spans="291:291" x14ac:dyDescent="0.2">
      <c r="KE21547" s="69"/>
    </row>
    <row r="21548" spans="291:291" x14ac:dyDescent="0.2">
      <c r="KE21548" s="69"/>
    </row>
    <row r="21549" spans="291:291" x14ac:dyDescent="0.2">
      <c r="KE21549" s="69"/>
    </row>
    <row r="21550" spans="291:291" x14ac:dyDescent="0.2">
      <c r="KE21550" s="69"/>
    </row>
    <row r="21551" spans="291:291" x14ac:dyDescent="0.2">
      <c r="KE21551" s="69"/>
    </row>
    <row r="21552" spans="291:291" x14ac:dyDescent="0.2">
      <c r="KE21552" s="69"/>
    </row>
    <row r="21553" spans="291:291" x14ac:dyDescent="0.2">
      <c r="KE21553" s="69"/>
    </row>
    <row r="21554" spans="291:291" x14ac:dyDescent="0.2">
      <c r="KE21554" s="69"/>
    </row>
    <row r="21587" spans="291:291" x14ac:dyDescent="0.2">
      <c r="KE21587" s="69"/>
    </row>
    <row r="21662" spans="291:291" x14ac:dyDescent="0.2">
      <c r="KE21662" s="69"/>
    </row>
    <row r="21694" spans="291:291" x14ac:dyDescent="0.2">
      <c r="KE21694" s="69"/>
    </row>
    <row r="21698" spans="291:291" x14ac:dyDescent="0.2">
      <c r="KE21698" s="69"/>
    </row>
    <row r="21701" spans="291:291" x14ac:dyDescent="0.2">
      <c r="KE21701" s="69"/>
    </row>
    <row r="21702" spans="291:291" x14ac:dyDescent="0.2">
      <c r="KE21702" s="69"/>
    </row>
    <row r="21706" spans="291:291" x14ac:dyDescent="0.2">
      <c r="KE21706" s="69"/>
    </row>
    <row r="21707" spans="291:291" x14ac:dyDescent="0.2">
      <c r="KE21707" s="69"/>
    </row>
    <row r="21708" spans="291:291" x14ac:dyDescent="0.2">
      <c r="KE21708" s="69"/>
    </row>
    <row r="21709" spans="291:291" x14ac:dyDescent="0.2">
      <c r="KE21709" s="69"/>
    </row>
    <row r="21710" spans="291:291" x14ac:dyDescent="0.2">
      <c r="KE21710" s="69"/>
    </row>
    <row r="21711" spans="291:291" x14ac:dyDescent="0.2">
      <c r="KE21711" s="69"/>
    </row>
    <row r="21712" spans="291:291" x14ac:dyDescent="0.2">
      <c r="KE21712" s="69"/>
    </row>
    <row r="21715" spans="291:291" x14ac:dyDescent="0.2">
      <c r="KE21715" s="69"/>
    </row>
    <row r="21716" spans="291:291" x14ac:dyDescent="0.2">
      <c r="KE21716" s="69"/>
    </row>
    <row r="21717" spans="291:291" x14ac:dyDescent="0.2">
      <c r="KE21717" s="69"/>
    </row>
    <row r="21718" spans="291:291" x14ac:dyDescent="0.2">
      <c r="KE21718" s="69"/>
    </row>
    <row r="21719" spans="291:291" x14ac:dyDescent="0.2">
      <c r="KE21719" s="69"/>
    </row>
    <row r="21722" spans="291:291" x14ac:dyDescent="0.2">
      <c r="KE21722" s="69"/>
    </row>
    <row r="21723" spans="291:291" x14ac:dyDescent="0.2">
      <c r="KE21723" s="69"/>
    </row>
    <row r="21727" spans="291:291" x14ac:dyDescent="0.2">
      <c r="KE21727" s="69"/>
    </row>
    <row r="21728" spans="291:291" x14ac:dyDescent="0.2">
      <c r="KE21728" s="69"/>
    </row>
    <row r="21731" spans="291:291" x14ac:dyDescent="0.2">
      <c r="KE21731" s="69"/>
    </row>
    <row r="21732" spans="291:291" x14ac:dyDescent="0.2">
      <c r="KE21732" s="69"/>
    </row>
    <row r="21733" spans="291:291" x14ac:dyDescent="0.2">
      <c r="KE21733" s="69"/>
    </row>
    <row r="21734" spans="291:291" x14ac:dyDescent="0.2">
      <c r="KE21734" s="69"/>
    </row>
    <row r="21735" spans="291:291" x14ac:dyDescent="0.2">
      <c r="KE21735" s="69"/>
    </row>
    <row r="21736" spans="291:291" x14ac:dyDescent="0.2">
      <c r="KE21736" s="69"/>
    </row>
    <row r="21738" spans="291:291" x14ac:dyDescent="0.2">
      <c r="KE21738" s="69"/>
    </row>
    <row r="21740" spans="291:291" x14ac:dyDescent="0.2">
      <c r="KE21740" s="69"/>
    </row>
    <row r="21742" spans="291:291" x14ac:dyDescent="0.2">
      <c r="KE21742" s="69"/>
    </row>
    <row r="21762" spans="291:291" x14ac:dyDescent="0.2">
      <c r="KE21762" s="69"/>
    </row>
    <row r="21763" spans="291:291" x14ac:dyDescent="0.2">
      <c r="KE21763" s="69"/>
    </row>
    <row r="21764" spans="291:291" x14ac:dyDescent="0.2">
      <c r="KE21764" s="69"/>
    </row>
    <row r="21765" spans="291:291" x14ac:dyDescent="0.2">
      <c r="KE21765" s="69"/>
    </row>
    <row r="21769" spans="291:291" x14ac:dyDescent="0.2">
      <c r="KE21769" s="69"/>
    </row>
    <row r="21770" spans="291:291" x14ac:dyDescent="0.2">
      <c r="KE21770" s="69"/>
    </row>
    <row r="21771" spans="291:291" x14ac:dyDescent="0.2">
      <c r="KE21771" s="69"/>
    </row>
    <row r="21772" spans="291:291" x14ac:dyDescent="0.2">
      <c r="KE21772" s="69"/>
    </row>
    <row r="21773" spans="291:291" x14ac:dyDescent="0.2">
      <c r="KE21773" s="69"/>
    </row>
    <row r="21774" spans="291:291" x14ac:dyDescent="0.2">
      <c r="KE21774" s="69"/>
    </row>
    <row r="21775" spans="291:291" x14ac:dyDescent="0.2">
      <c r="KE21775" s="69"/>
    </row>
    <row r="21776" spans="291:291" x14ac:dyDescent="0.2">
      <c r="KE21776" s="69"/>
    </row>
    <row r="21777" spans="291:291" x14ac:dyDescent="0.2">
      <c r="KE21777" s="69"/>
    </row>
    <row r="21778" spans="291:291" x14ac:dyDescent="0.2">
      <c r="KE21778" s="69"/>
    </row>
    <row r="21779" spans="291:291" x14ac:dyDescent="0.2">
      <c r="KE21779" s="69"/>
    </row>
    <row r="21780" spans="291:291" x14ac:dyDescent="0.2">
      <c r="KE21780" s="69"/>
    </row>
    <row r="21781" spans="291:291" x14ac:dyDescent="0.2">
      <c r="KE21781" s="69"/>
    </row>
    <row r="21782" spans="291:291" x14ac:dyDescent="0.2">
      <c r="KE21782" s="69"/>
    </row>
    <row r="21783" spans="291:291" x14ac:dyDescent="0.2">
      <c r="KE21783" s="69"/>
    </row>
    <row r="21784" spans="291:291" x14ac:dyDescent="0.2">
      <c r="KE21784" s="69"/>
    </row>
    <row r="21785" spans="291:291" x14ac:dyDescent="0.2">
      <c r="KE21785" s="69"/>
    </row>
    <row r="21786" spans="291:291" x14ac:dyDescent="0.2">
      <c r="KE21786" s="69"/>
    </row>
    <row r="21787" spans="291:291" x14ac:dyDescent="0.2">
      <c r="KE21787" s="69"/>
    </row>
    <row r="21790" spans="291:291" x14ac:dyDescent="0.2">
      <c r="KE21790" s="69"/>
    </row>
    <row r="21791" spans="291:291" x14ac:dyDescent="0.2">
      <c r="KE21791" s="69"/>
    </row>
    <row r="21796" spans="291:291" x14ac:dyDescent="0.2">
      <c r="KE21796" s="69"/>
    </row>
    <row r="21799" spans="291:291" x14ac:dyDescent="0.2">
      <c r="KE21799" s="69"/>
    </row>
    <row r="21800" spans="291:291" x14ac:dyDescent="0.2">
      <c r="KE21800" s="69"/>
    </row>
    <row r="21801" spans="291:291" x14ac:dyDescent="0.2">
      <c r="KE21801" s="69"/>
    </row>
    <row r="21805" spans="291:291" x14ac:dyDescent="0.2">
      <c r="KE21805" s="69"/>
    </row>
    <row r="21806" spans="291:291" x14ac:dyDescent="0.2">
      <c r="KE21806" s="69"/>
    </row>
    <row r="21807" spans="291:291" x14ac:dyDescent="0.2">
      <c r="KE21807" s="69"/>
    </row>
    <row r="21808" spans="291:291" x14ac:dyDescent="0.2">
      <c r="KE21808" s="69"/>
    </row>
    <row r="21809" spans="291:291" x14ac:dyDescent="0.2">
      <c r="KE21809" s="69"/>
    </row>
    <row r="21812" spans="291:291" x14ac:dyDescent="0.2">
      <c r="KE21812" s="69"/>
    </row>
    <row r="21813" spans="291:291" x14ac:dyDescent="0.2">
      <c r="KE21813" s="69"/>
    </row>
    <row r="21814" spans="291:291" x14ac:dyDescent="0.2">
      <c r="KE21814" s="69"/>
    </row>
    <row r="21815" spans="291:291" x14ac:dyDescent="0.2">
      <c r="KE21815" s="69"/>
    </row>
    <row r="21816" spans="291:291" x14ac:dyDescent="0.2">
      <c r="KE21816" s="69"/>
    </row>
    <row r="21817" spans="291:291" x14ac:dyDescent="0.2">
      <c r="KE21817" s="69"/>
    </row>
    <row r="21818" spans="291:291" x14ac:dyDescent="0.2">
      <c r="KE21818" s="69"/>
    </row>
    <row r="21819" spans="291:291" x14ac:dyDescent="0.2">
      <c r="KE21819" s="69"/>
    </row>
    <row r="21820" spans="291:291" x14ac:dyDescent="0.2">
      <c r="KE21820" s="69"/>
    </row>
    <row r="21821" spans="291:291" x14ac:dyDescent="0.2">
      <c r="KE21821" s="69"/>
    </row>
    <row r="21822" spans="291:291" x14ac:dyDescent="0.2">
      <c r="KE21822" s="69"/>
    </row>
    <row r="21825" spans="291:291" x14ac:dyDescent="0.2">
      <c r="KE21825" s="69"/>
    </row>
    <row r="21826" spans="291:291" x14ac:dyDescent="0.2">
      <c r="KE21826" s="69"/>
    </row>
    <row r="21827" spans="291:291" x14ac:dyDescent="0.2">
      <c r="KE21827" s="69"/>
    </row>
    <row r="21828" spans="291:291" x14ac:dyDescent="0.2">
      <c r="KE21828" s="69"/>
    </row>
    <row r="21830" spans="291:291" x14ac:dyDescent="0.2">
      <c r="KE21830" s="69"/>
    </row>
    <row r="21834" spans="291:291" x14ac:dyDescent="0.2">
      <c r="KE21834" s="69"/>
    </row>
    <row r="21839" spans="291:291" x14ac:dyDescent="0.2">
      <c r="KE21839" s="69"/>
    </row>
    <row r="21842" spans="291:291" x14ac:dyDescent="0.2">
      <c r="KE21842" s="69"/>
    </row>
    <row r="21871" spans="291:291" x14ac:dyDescent="0.2">
      <c r="KE21871" s="69"/>
    </row>
    <row r="21890" spans="291:291" x14ac:dyDescent="0.2">
      <c r="KE21890" s="69"/>
    </row>
    <row r="21900" spans="291:291" x14ac:dyDescent="0.2">
      <c r="KE21900" s="69"/>
    </row>
    <row r="21902" spans="291:291" x14ac:dyDescent="0.2">
      <c r="KE21902" s="69"/>
    </row>
    <row r="21903" spans="291:291" x14ac:dyDescent="0.2">
      <c r="KE21903" s="69"/>
    </row>
    <row r="21904" spans="291:291" x14ac:dyDescent="0.2">
      <c r="KE21904" s="69"/>
    </row>
    <row r="21906" spans="291:291" x14ac:dyDescent="0.2">
      <c r="KE21906" s="69"/>
    </row>
    <row r="21907" spans="291:291" x14ac:dyDescent="0.2">
      <c r="KE21907" s="69"/>
    </row>
    <row r="21908" spans="291:291" x14ac:dyDescent="0.2">
      <c r="KE21908" s="69"/>
    </row>
    <row r="21909" spans="291:291" x14ac:dyDescent="0.2">
      <c r="KE21909" s="69"/>
    </row>
    <row r="21910" spans="291:291" x14ac:dyDescent="0.2">
      <c r="KE21910" s="69"/>
    </row>
    <row r="21911" spans="291:291" x14ac:dyDescent="0.2">
      <c r="KE21911" s="69"/>
    </row>
    <row r="21912" spans="291:291" x14ac:dyDescent="0.2">
      <c r="KE21912" s="69"/>
    </row>
    <row r="21913" spans="291:291" x14ac:dyDescent="0.2">
      <c r="KE21913" s="69"/>
    </row>
    <row r="21916" spans="291:291" x14ac:dyDescent="0.2">
      <c r="KE21916" s="69"/>
    </row>
    <row r="21917" spans="291:291" x14ac:dyDescent="0.2">
      <c r="KE21917" s="69"/>
    </row>
    <row r="21918" spans="291:291" x14ac:dyDescent="0.2">
      <c r="KE21918" s="69"/>
    </row>
    <row r="21919" spans="291:291" x14ac:dyDescent="0.2">
      <c r="KE21919" s="69"/>
    </row>
    <row r="21920" spans="291:291" x14ac:dyDescent="0.2">
      <c r="KE21920" s="69"/>
    </row>
    <row r="21928" spans="291:291" x14ac:dyDescent="0.2">
      <c r="KE21928" s="69"/>
    </row>
    <row r="21931" spans="291:291" x14ac:dyDescent="0.2">
      <c r="KE21931" s="69"/>
    </row>
    <row r="21932" spans="291:291" x14ac:dyDescent="0.2">
      <c r="KE21932" s="69"/>
    </row>
    <row r="21951" spans="291:291" x14ac:dyDescent="0.2">
      <c r="KE21951" s="69"/>
    </row>
    <row r="21972" spans="291:291" x14ac:dyDescent="0.2">
      <c r="KE21972" s="69"/>
    </row>
    <row r="21977" spans="291:291" x14ac:dyDescent="0.2">
      <c r="KE21977" s="69"/>
    </row>
    <row r="22015" spans="291:291" x14ac:dyDescent="0.2">
      <c r="KE22015" s="69"/>
    </row>
    <row r="22022" spans="291:291" x14ac:dyDescent="0.2">
      <c r="KE22022" s="69"/>
    </row>
    <row r="22041" spans="291:291" x14ac:dyDescent="0.2">
      <c r="KE22041" s="69"/>
    </row>
    <row r="22043" spans="291:291" x14ac:dyDescent="0.2">
      <c r="KE22043" s="69"/>
    </row>
    <row r="22047" spans="291:291" x14ac:dyDescent="0.2">
      <c r="KE22047" s="69"/>
    </row>
    <row r="22048" spans="291:291" x14ac:dyDescent="0.2">
      <c r="KE22048" s="69"/>
    </row>
    <row r="22050" spans="291:291" x14ac:dyDescent="0.2">
      <c r="KE22050" s="69"/>
    </row>
    <row r="22103" spans="291:291" x14ac:dyDescent="0.2">
      <c r="KE22103" s="69"/>
    </row>
    <row r="22121" spans="291:291" x14ac:dyDescent="0.2">
      <c r="KE22121" s="69"/>
    </row>
    <row r="22124" spans="291:291" x14ac:dyDescent="0.2">
      <c r="KE22124" s="69"/>
    </row>
    <row r="22125" spans="291:291" x14ac:dyDescent="0.2">
      <c r="KE22125" s="69"/>
    </row>
    <row r="22126" spans="291:291" x14ac:dyDescent="0.2">
      <c r="KE22126" s="69"/>
    </row>
    <row r="22179" spans="291:291" x14ac:dyDescent="0.2">
      <c r="KE22179" s="69"/>
    </row>
    <row r="22195" spans="291:291" x14ac:dyDescent="0.2">
      <c r="KE22195" s="69"/>
    </row>
    <row r="22201" spans="291:291" x14ac:dyDescent="0.2">
      <c r="KE22201" s="69"/>
    </row>
    <row r="22208" spans="291:291" x14ac:dyDescent="0.2">
      <c r="KE22208" s="69"/>
    </row>
    <row r="22209" spans="291:291" x14ac:dyDescent="0.2">
      <c r="KE22209" s="69"/>
    </row>
    <row r="22215" spans="291:291" x14ac:dyDescent="0.2">
      <c r="KE22215" s="69"/>
    </row>
    <row r="22246" spans="291:291" x14ac:dyDescent="0.2">
      <c r="KE22246" s="69"/>
    </row>
    <row r="22280" spans="291:291" x14ac:dyDescent="0.2">
      <c r="KE22280" s="69"/>
    </row>
    <row r="22301" spans="291:291" x14ac:dyDescent="0.2">
      <c r="KE22301" s="69"/>
    </row>
    <row r="22302" spans="291:291" x14ac:dyDescent="0.2">
      <c r="KE22302" s="69"/>
    </row>
    <row r="22303" spans="291:291" x14ac:dyDescent="0.2">
      <c r="KE22303" s="69"/>
    </row>
    <row r="22304" spans="291:291" x14ac:dyDescent="0.2">
      <c r="KE22304" s="69"/>
    </row>
    <row r="22305" spans="291:291" x14ac:dyDescent="0.2">
      <c r="KE22305" s="69"/>
    </row>
    <row r="22306" spans="291:291" x14ac:dyDescent="0.2">
      <c r="KE22306" s="69"/>
    </row>
    <row r="22307" spans="291:291" x14ac:dyDescent="0.2">
      <c r="KE22307" s="69"/>
    </row>
    <row r="22308" spans="291:291" x14ac:dyDescent="0.2">
      <c r="KE22308" s="69"/>
    </row>
    <row r="22309" spans="291:291" x14ac:dyDescent="0.2">
      <c r="KE22309" s="69"/>
    </row>
    <row r="22310" spans="291:291" x14ac:dyDescent="0.2">
      <c r="KE22310" s="69"/>
    </row>
    <row r="22313" spans="291:291" x14ac:dyDescent="0.2">
      <c r="KE22313" s="69"/>
    </row>
    <row r="22315" spans="291:291" x14ac:dyDescent="0.2">
      <c r="KE22315" s="69"/>
    </row>
    <row r="22318" spans="291:291" x14ac:dyDescent="0.2">
      <c r="KE22318" s="69"/>
    </row>
    <row r="22320" spans="291:291" x14ac:dyDescent="0.2">
      <c r="KE22320" s="69"/>
    </row>
    <row r="22322" spans="291:291" x14ac:dyDescent="0.2">
      <c r="KE22322" s="69"/>
    </row>
    <row r="22324" spans="291:291" x14ac:dyDescent="0.2">
      <c r="KE22324" s="69"/>
    </row>
    <row r="22328" spans="291:291" x14ac:dyDescent="0.2">
      <c r="KE22328" s="69"/>
    </row>
    <row r="22329" spans="291:291" x14ac:dyDescent="0.2">
      <c r="KE22329" s="69"/>
    </row>
    <row r="22335" spans="291:291" x14ac:dyDescent="0.2">
      <c r="KE22335" s="69"/>
    </row>
    <row r="22338" spans="291:291" x14ac:dyDescent="0.2">
      <c r="KE22338" s="69"/>
    </row>
    <row r="22340" spans="291:291" x14ac:dyDescent="0.2">
      <c r="KE22340" s="69"/>
    </row>
    <row r="22362" spans="291:291" x14ac:dyDescent="0.2">
      <c r="KE22362" s="69"/>
    </row>
    <row r="22374" spans="291:291" x14ac:dyDescent="0.2">
      <c r="KE22374" s="69"/>
    </row>
    <row r="22387" spans="291:291" x14ac:dyDescent="0.2">
      <c r="KE22387" s="69"/>
    </row>
    <row r="22399" spans="291:291" x14ac:dyDescent="0.2">
      <c r="KE22399" s="69"/>
    </row>
    <row r="22422" spans="291:291" x14ac:dyDescent="0.2">
      <c r="KE22422" s="69"/>
    </row>
    <row r="22462" spans="291:291" x14ac:dyDescent="0.2">
      <c r="KE22462" s="69"/>
    </row>
    <row r="22464" spans="291:291" x14ac:dyDescent="0.2">
      <c r="KE22464" s="69"/>
    </row>
    <row r="22468" spans="291:291" x14ac:dyDescent="0.2">
      <c r="KE22468" s="69"/>
    </row>
    <row r="22474" spans="291:291" x14ac:dyDescent="0.2">
      <c r="KE22474" s="69"/>
    </row>
    <row r="22478" spans="291:291" x14ac:dyDescent="0.2">
      <c r="KE22478" s="69"/>
    </row>
    <row r="22494" spans="291:291" x14ac:dyDescent="0.2">
      <c r="KE22494" s="69"/>
    </row>
    <row r="22496" spans="291:291" x14ac:dyDescent="0.2">
      <c r="KE22496" s="69"/>
    </row>
    <row r="22524" spans="291:291" x14ac:dyDescent="0.2">
      <c r="KE22524" s="69"/>
    </row>
    <row r="22525" spans="291:291" x14ac:dyDescent="0.2">
      <c r="KE22525" s="69"/>
    </row>
    <row r="22561" spans="291:291" x14ac:dyDescent="0.2">
      <c r="KE22561" s="69"/>
    </row>
    <row r="22575" spans="291:291" x14ac:dyDescent="0.2">
      <c r="KE22575" s="69"/>
    </row>
    <row r="22579" spans="291:291" x14ac:dyDescent="0.2">
      <c r="KE22579" s="69"/>
    </row>
    <row r="22612" spans="291:291" x14ac:dyDescent="0.2">
      <c r="KE22612" s="69"/>
    </row>
    <row r="22627" spans="291:291" x14ac:dyDescent="0.2">
      <c r="KE22627" s="69"/>
    </row>
    <row r="22628" spans="291:291" x14ac:dyDescent="0.2">
      <c r="KE22628" s="69"/>
    </row>
    <row r="22629" spans="291:291" x14ac:dyDescent="0.2">
      <c r="KE22629" s="69"/>
    </row>
    <row r="22630" spans="291:291" x14ac:dyDescent="0.2">
      <c r="KE22630" s="69"/>
    </row>
    <row r="22631" spans="291:291" x14ac:dyDescent="0.2">
      <c r="KE22631" s="69"/>
    </row>
    <row r="22632" spans="291:291" x14ac:dyDescent="0.2">
      <c r="KE22632" s="69"/>
    </row>
    <row r="22634" spans="291:291" x14ac:dyDescent="0.2">
      <c r="KE22634" s="69"/>
    </row>
    <row r="22637" spans="291:291" x14ac:dyDescent="0.2">
      <c r="KE22637" s="69"/>
    </row>
    <row r="22638" spans="291:291" x14ac:dyDescent="0.2">
      <c r="KE22638" s="69"/>
    </row>
    <row r="22639" spans="291:291" x14ac:dyDescent="0.2">
      <c r="KE22639" s="69"/>
    </row>
    <row r="22640" spans="291:291" x14ac:dyDescent="0.2">
      <c r="KE22640" s="69"/>
    </row>
    <row r="22641" spans="291:291" x14ac:dyDescent="0.2">
      <c r="KE22641" s="69"/>
    </row>
    <row r="22642" spans="291:291" x14ac:dyDescent="0.2">
      <c r="KE22642" s="69"/>
    </row>
    <row r="22643" spans="291:291" x14ac:dyDescent="0.2">
      <c r="KE22643" s="69"/>
    </row>
    <row r="22644" spans="291:291" x14ac:dyDescent="0.2">
      <c r="KE22644" s="69"/>
    </row>
    <row r="22645" spans="291:291" x14ac:dyDescent="0.2">
      <c r="KE22645" s="69"/>
    </row>
    <row r="22646" spans="291:291" x14ac:dyDescent="0.2">
      <c r="KE22646" s="69"/>
    </row>
    <row r="22648" spans="291:291" x14ac:dyDescent="0.2">
      <c r="KE22648" s="69"/>
    </row>
    <row r="22649" spans="291:291" x14ac:dyDescent="0.2">
      <c r="KE22649" s="69"/>
    </row>
    <row r="22650" spans="291:291" x14ac:dyDescent="0.2">
      <c r="KE22650" s="69"/>
    </row>
    <row r="22652" spans="291:291" x14ac:dyDescent="0.2">
      <c r="KE22652" s="69"/>
    </row>
    <row r="22655" spans="291:291" x14ac:dyDescent="0.2">
      <c r="KE22655" s="69"/>
    </row>
    <row r="22656" spans="291:291" x14ac:dyDescent="0.2">
      <c r="KE22656" s="69"/>
    </row>
    <row r="22657" spans="291:291" x14ac:dyDescent="0.2">
      <c r="KE22657" s="69"/>
    </row>
    <row r="22671" spans="291:291" x14ac:dyDescent="0.2">
      <c r="KE22671" s="69"/>
    </row>
    <row r="22673" spans="291:291" x14ac:dyDescent="0.2">
      <c r="KE22673" s="69"/>
    </row>
    <row r="22674" spans="291:291" x14ac:dyDescent="0.2">
      <c r="KE22674" s="69"/>
    </row>
    <row r="22675" spans="291:291" x14ac:dyDescent="0.2">
      <c r="KE22675" s="69"/>
    </row>
    <row r="22676" spans="291:291" x14ac:dyDescent="0.2">
      <c r="KE22676" s="69"/>
    </row>
    <row r="22677" spans="291:291" x14ac:dyDescent="0.2">
      <c r="KE22677" s="69"/>
    </row>
    <row r="22678" spans="291:291" x14ac:dyDescent="0.2">
      <c r="KE22678" s="69"/>
    </row>
    <row r="22679" spans="291:291" x14ac:dyDescent="0.2">
      <c r="KE22679" s="69"/>
    </row>
    <row r="22680" spans="291:291" x14ac:dyDescent="0.2">
      <c r="KE22680" s="69"/>
    </row>
    <row r="22681" spans="291:291" x14ac:dyDescent="0.2">
      <c r="KE22681" s="69"/>
    </row>
    <row r="22682" spans="291:291" x14ac:dyDescent="0.2">
      <c r="KE22682" s="69"/>
    </row>
    <row r="22683" spans="291:291" x14ac:dyDescent="0.2">
      <c r="KE22683" s="69"/>
    </row>
    <row r="22684" spans="291:291" x14ac:dyDescent="0.2">
      <c r="KE22684" s="69"/>
    </row>
    <row r="22685" spans="291:291" x14ac:dyDescent="0.2">
      <c r="KE22685" s="69"/>
    </row>
    <row r="22686" spans="291:291" x14ac:dyDescent="0.2">
      <c r="KE22686" s="69"/>
    </row>
    <row r="22687" spans="291:291" x14ac:dyDescent="0.2">
      <c r="KE22687" s="69"/>
    </row>
    <row r="22688" spans="291:291" x14ac:dyDescent="0.2">
      <c r="KE22688" s="69"/>
    </row>
    <row r="22689" spans="291:291" x14ac:dyDescent="0.2">
      <c r="KE22689" s="69"/>
    </row>
    <row r="22690" spans="291:291" x14ac:dyDescent="0.2">
      <c r="KE22690" s="69"/>
    </row>
    <row r="22691" spans="291:291" x14ac:dyDescent="0.2">
      <c r="KE22691" s="69"/>
    </row>
    <row r="22692" spans="291:291" x14ac:dyDescent="0.2">
      <c r="KE22692" s="69"/>
    </row>
    <row r="22693" spans="291:291" x14ac:dyDescent="0.2">
      <c r="KE22693" s="69"/>
    </row>
    <row r="22694" spans="291:291" x14ac:dyDescent="0.2">
      <c r="KE22694" s="69"/>
    </row>
    <row r="22695" spans="291:291" x14ac:dyDescent="0.2">
      <c r="KE22695" s="69"/>
    </row>
    <row r="22696" spans="291:291" x14ac:dyDescent="0.2">
      <c r="KE22696" s="69"/>
    </row>
    <row r="22697" spans="291:291" x14ac:dyDescent="0.2">
      <c r="KE22697" s="69"/>
    </row>
    <row r="22698" spans="291:291" x14ac:dyDescent="0.2">
      <c r="KE22698" s="69"/>
    </row>
    <row r="22699" spans="291:291" x14ac:dyDescent="0.2">
      <c r="KE22699" s="69"/>
    </row>
    <row r="22700" spans="291:291" x14ac:dyDescent="0.2">
      <c r="KE22700" s="69"/>
    </row>
    <row r="22701" spans="291:291" x14ac:dyDescent="0.2">
      <c r="KE22701" s="69"/>
    </row>
    <row r="22702" spans="291:291" x14ac:dyDescent="0.2">
      <c r="KE22702" s="69"/>
    </row>
    <row r="22703" spans="291:291" x14ac:dyDescent="0.2">
      <c r="KE22703" s="69"/>
    </row>
    <row r="22704" spans="291:291" x14ac:dyDescent="0.2">
      <c r="KE22704" s="69"/>
    </row>
    <row r="22705" spans="291:291" x14ac:dyDescent="0.2">
      <c r="KE22705" s="69"/>
    </row>
    <row r="22706" spans="291:291" x14ac:dyDescent="0.2">
      <c r="KE22706" s="69"/>
    </row>
    <row r="22707" spans="291:291" x14ac:dyDescent="0.2">
      <c r="KE22707" s="69"/>
    </row>
    <row r="22709" spans="291:291" x14ac:dyDescent="0.2">
      <c r="KE22709" s="69"/>
    </row>
    <row r="22710" spans="291:291" x14ac:dyDescent="0.2">
      <c r="KE22710" s="69"/>
    </row>
    <row r="22711" spans="291:291" x14ac:dyDescent="0.2">
      <c r="KE22711" s="69"/>
    </row>
    <row r="22712" spans="291:291" x14ac:dyDescent="0.2">
      <c r="KE22712" s="69"/>
    </row>
    <row r="22713" spans="291:291" x14ac:dyDescent="0.2">
      <c r="KE22713" s="69"/>
    </row>
    <row r="22714" spans="291:291" x14ac:dyDescent="0.2">
      <c r="KE22714" s="69"/>
    </row>
    <row r="22716" spans="291:291" x14ac:dyDescent="0.2">
      <c r="KE22716" s="69"/>
    </row>
    <row r="22723" spans="291:291" x14ac:dyDescent="0.2">
      <c r="KE22723" s="69"/>
    </row>
    <row r="22724" spans="291:291" x14ac:dyDescent="0.2">
      <c r="KE22724" s="69"/>
    </row>
    <row r="22725" spans="291:291" x14ac:dyDescent="0.2">
      <c r="KE22725" s="69"/>
    </row>
    <row r="22726" spans="291:291" x14ac:dyDescent="0.2">
      <c r="KE22726" s="69"/>
    </row>
    <row r="22727" spans="291:291" x14ac:dyDescent="0.2">
      <c r="KE22727" s="69"/>
    </row>
    <row r="22728" spans="291:291" x14ac:dyDescent="0.2">
      <c r="KE22728" s="69"/>
    </row>
    <row r="22729" spans="291:291" x14ac:dyDescent="0.2">
      <c r="KE22729" s="69"/>
    </row>
    <row r="22730" spans="291:291" x14ac:dyDescent="0.2">
      <c r="KE22730" s="69"/>
    </row>
    <row r="22731" spans="291:291" x14ac:dyDescent="0.2">
      <c r="KE22731" s="69"/>
    </row>
    <row r="22732" spans="291:291" x14ac:dyDescent="0.2">
      <c r="KE22732" s="69"/>
    </row>
    <row r="22733" spans="291:291" x14ac:dyDescent="0.2">
      <c r="KE22733" s="69"/>
    </row>
    <row r="22734" spans="291:291" x14ac:dyDescent="0.2">
      <c r="KE22734" s="69"/>
    </row>
    <row r="22735" spans="291:291" x14ac:dyDescent="0.2">
      <c r="KE22735" s="69"/>
    </row>
    <row r="22736" spans="291:291" x14ac:dyDescent="0.2">
      <c r="KE22736" s="69"/>
    </row>
    <row r="22738" spans="291:291" x14ac:dyDescent="0.2">
      <c r="KE22738" s="69"/>
    </row>
    <row r="22739" spans="291:291" x14ac:dyDescent="0.2">
      <c r="KE22739" s="69"/>
    </row>
    <row r="22740" spans="291:291" x14ac:dyDescent="0.2">
      <c r="KE22740" s="69"/>
    </row>
    <row r="22741" spans="291:291" x14ac:dyDescent="0.2">
      <c r="KE22741" s="69"/>
    </row>
    <row r="22742" spans="291:291" x14ac:dyDescent="0.2">
      <c r="KE22742" s="69"/>
    </row>
    <row r="22743" spans="291:291" x14ac:dyDescent="0.2">
      <c r="KE22743" s="69"/>
    </row>
    <row r="22744" spans="291:291" x14ac:dyDescent="0.2">
      <c r="KE22744" s="69"/>
    </row>
    <row r="22745" spans="291:291" x14ac:dyDescent="0.2">
      <c r="KE22745" s="69"/>
    </row>
    <row r="22746" spans="291:291" x14ac:dyDescent="0.2">
      <c r="KE22746" s="69"/>
    </row>
    <row r="22747" spans="291:291" x14ac:dyDescent="0.2">
      <c r="KE22747" s="69"/>
    </row>
    <row r="22748" spans="291:291" x14ac:dyDescent="0.2">
      <c r="KE22748" s="69"/>
    </row>
    <row r="22749" spans="291:291" x14ac:dyDescent="0.2">
      <c r="KE22749" s="69"/>
    </row>
    <row r="22750" spans="291:291" x14ac:dyDescent="0.2">
      <c r="KE22750" s="69"/>
    </row>
    <row r="22751" spans="291:291" x14ac:dyDescent="0.2">
      <c r="KE22751" s="69"/>
    </row>
    <row r="22753" spans="291:291" x14ac:dyDescent="0.2">
      <c r="KE22753" s="69"/>
    </row>
    <row r="22776" spans="291:291" x14ac:dyDescent="0.2">
      <c r="KE22776" s="69"/>
    </row>
    <row r="22813" spans="291:291" x14ac:dyDescent="0.2">
      <c r="KE22813" s="69"/>
    </row>
    <row r="22829" spans="291:291" x14ac:dyDescent="0.2">
      <c r="KE22829" s="69"/>
    </row>
    <row r="22850" spans="291:291" x14ac:dyDescent="0.2">
      <c r="KE22850" s="69"/>
    </row>
    <row r="22851" spans="291:291" x14ac:dyDescent="0.2">
      <c r="KE22851" s="69"/>
    </row>
    <row r="22864" spans="291:291" x14ac:dyDescent="0.2">
      <c r="KE22864" s="69"/>
    </row>
    <row r="22865" spans="291:291" x14ac:dyDescent="0.2">
      <c r="KE22865" s="69"/>
    </row>
    <row r="22868" spans="291:291" x14ac:dyDescent="0.2">
      <c r="KE22868" s="69"/>
    </row>
    <row r="22872" spans="291:291" x14ac:dyDescent="0.2">
      <c r="KE22872" s="69"/>
    </row>
    <row r="22880" spans="291:291" x14ac:dyDescent="0.2">
      <c r="KE22880" s="69"/>
    </row>
    <row r="22881" spans="291:291" x14ac:dyDescent="0.2">
      <c r="KE22881" s="69"/>
    </row>
    <row r="22882" spans="291:291" x14ac:dyDescent="0.2">
      <c r="KE22882" s="69"/>
    </row>
    <row r="22883" spans="291:291" x14ac:dyDescent="0.2">
      <c r="KE22883" s="69"/>
    </row>
    <row r="22884" spans="291:291" x14ac:dyDescent="0.2">
      <c r="KE22884" s="69"/>
    </row>
    <row r="22886" spans="291:291" x14ac:dyDescent="0.2">
      <c r="KE22886" s="69"/>
    </row>
    <row r="22889" spans="291:291" x14ac:dyDescent="0.2">
      <c r="KE22889" s="69"/>
    </row>
    <row r="22890" spans="291:291" x14ac:dyDescent="0.2">
      <c r="KE22890" s="69"/>
    </row>
    <row r="22892" spans="291:291" x14ac:dyDescent="0.2">
      <c r="KE22892" s="69"/>
    </row>
    <row r="22896" spans="291:291" x14ac:dyDescent="0.2">
      <c r="KE22896" s="69"/>
    </row>
    <row r="22905" spans="291:291" x14ac:dyDescent="0.2">
      <c r="KE22905" s="69"/>
    </row>
    <row r="22907" spans="291:291" x14ac:dyDescent="0.2">
      <c r="KE22907" s="69"/>
    </row>
    <row r="22909" spans="291:291" x14ac:dyDescent="0.2">
      <c r="KE22909" s="69"/>
    </row>
    <row r="22910" spans="291:291" x14ac:dyDescent="0.2">
      <c r="KE22910" s="69"/>
    </row>
    <row r="22911" spans="291:291" x14ac:dyDescent="0.2">
      <c r="KE22911" s="69"/>
    </row>
    <row r="22912" spans="291:291" x14ac:dyDescent="0.2">
      <c r="KE22912" s="69"/>
    </row>
    <row r="22913" spans="291:291" x14ac:dyDescent="0.2">
      <c r="KE22913" s="69"/>
    </row>
    <row r="22917" spans="291:291" x14ac:dyDescent="0.2">
      <c r="KE22917" s="69"/>
    </row>
    <row r="22921" spans="291:291" x14ac:dyDescent="0.2">
      <c r="KE22921" s="69"/>
    </row>
    <row r="22928" spans="291:291" x14ac:dyDescent="0.2">
      <c r="KE22928" s="69"/>
    </row>
    <row r="22929" spans="291:291" x14ac:dyDescent="0.2">
      <c r="KE22929" s="69"/>
    </row>
    <row r="22930" spans="291:291" x14ac:dyDescent="0.2">
      <c r="KE22930" s="69"/>
    </row>
    <row r="22931" spans="291:291" x14ac:dyDescent="0.2">
      <c r="KE22931" s="69"/>
    </row>
    <row r="22932" spans="291:291" x14ac:dyDescent="0.2">
      <c r="KE22932" s="69"/>
    </row>
    <row r="22933" spans="291:291" x14ac:dyDescent="0.2">
      <c r="KE22933" s="69"/>
    </row>
    <row r="22934" spans="291:291" x14ac:dyDescent="0.2">
      <c r="KE22934" s="69"/>
    </row>
    <row r="22935" spans="291:291" x14ac:dyDescent="0.2">
      <c r="KE22935" s="69"/>
    </row>
    <row r="22936" spans="291:291" x14ac:dyDescent="0.2">
      <c r="KE22936" s="69"/>
    </row>
    <row r="22937" spans="291:291" x14ac:dyDescent="0.2">
      <c r="KE22937" s="69"/>
    </row>
    <row r="22941" spans="291:291" x14ac:dyDescent="0.2">
      <c r="KE22941" s="69"/>
    </row>
    <row r="22945" spans="291:291" x14ac:dyDescent="0.2">
      <c r="KE22945" s="69"/>
    </row>
    <row r="22947" spans="291:291" x14ac:dyDescent="0.2">
      <c r="KE22947" s="69"/>
    </row>
    <row r="22958" spans="291:291" x14ac:dyDescent="0.2">
      <c r="KE22958" s="69"/>
    </row>
    <row r="22962" spans="291:291" x14ac:dyDescent="0.2">
      <c r="KE22962" s="69"/>
    </row>
    <row r="22963" spans="291:291" x14ac:dyDescent="0.2">
      <c r="KE22963" s="69"/>
    </row>
    <row r="22964" spans="291:291" x14ac:dyDescent="0.2">
      <c r="KE22964" s="69"/>
    </row>
    <row r="22968" spans="291:291" x14ac:dyDescent="0.2">
      <c r="KE22968" s="69"/>
    </row>
    <row r="22969" spans="291:291" x14ac:dyDescent="0.2">
      <c r="KE22969" s="69"/>
    </row>
    <row r="22970" spans="291:291" x14ac:dyDescent="0.2">
      <c r="KE22970" s="69"/>
    </row>
    <row r="22971" spans="291:291" x14ac:dyDescent="0.2">
      <c r="KE22971" s="69"/>
    </row>
    <row r="22972" spans="291:291" x14ac:dyDescent="0.2">
      <c r="KE22972" s="69"/>
    </row>
    <row r="22973" spans="291:291" x14ac:dyDescent="0.2">
      <c r="KE22973" s="69"/>
    </row>
    <row r="22974" spans="291:291" x14ac:dyDescent="0.2">
      <c r="KE22974" s="69"/>
    </row>
    <row r="22975" spans="291:291" x14ac:dyDescent="0.2">
      <c r="KE22975" s="69"/>
    </row>
    <row r="22976" spans="291:291" x14ac:dyDescent="0.2">
      <c r="KE22976" s="69"/>
    </row>
    <row r="22977" spans="291:291" x14ac:dyDescent="0.2">
      <c r="KE22977" s="69"/>
    </row>
    <row r="22978" spans="291:291" x14ac:dyDescent="0.2">
      <c r="KE22978" s="69"/>
    </row>
    <row r="22979" spans="291:291" x14ac:dyDescent="0.2">
      <c r="KE22979" s="69"/>
    </row>
    <row r="22980" spans="291:291" x14ac:dyDescent="0.2">
      <c r="KE22980" s="69"/>
    </row>
    <row r="22984" spans="291:291" x14ac:dyDescent="0.2">
      <c r="KE22984" s="69"/>
    </row>
    <row r="22985" spans="291:291" x14ac:dyDescent="0.2">
      <c r="KE22985" s="69"/>
    </row>
    <row r="22986" spans="291:291" x14ac:dyDescent="0.2">
      <c r="KE22986" s="69"/>
    </row>
    <row r="22987" spans="291:291" x14ac:dyDescent="0.2">
      <c r="KE22987" s="69"/>
    </row>
    <row r="22991" spans="291:291" x14ac:dyDescent="0.2">
      <c r="KE22991" s="69"/>
    </row>
    <row r="22992" spans="291:291" x14ac:dyDescent="0.2">
      <c r="KE22992" s="69"/>
    </row>
    <row r="22994" spans="291:291" x14ac:dyDescent="0.2">
      <c r="KE22994" s="69"/>
    </row>
    <row r="22995" spans="291:291" x14ac:dyDescent="0.2">
      <c r="KE22995" s="69"/>
    </row>
    <row r="22996" spans="291:291" x14ac:dyDescent="0.2">
      <c r="KE22996" s="69"/>
    </row>
    <row r="22997" spans="291:291" x14ac:dyDescent="0.2">
      <c r="KE22997" s="69"/>
    </row>
    <row r="22998" spans="291:291" x14ac:dyDescent="0.2">
      <c r="KE22998" s="69"/>
    </row>
    <row r="23041" spans="291:291" x14ac:dyDescent="0.2">
      <c r="KE23041" s="69"/>
    </row>
    <row r="23049" spans="291:291" x14ac:dyDescent="0.2">
      <c r="KE23049" s="69"/>
    </row>
    <row r="23050" spans="291:291" x14ac:dyDescent="0.2">
      <c r="KE23050" s="69"/>
    </row>
    <row r="23051" spans="291:291" x14ac:dyDescent="0.2">
      <c r="KE23051" s="69"/>
    </row>
    <row r="23052" spans="291:291" x14ac:dyDescent="0.2">
      <c r="KE23052" s="69"/>
    </row>
    <row r="23053" spans="291:291" x14ac:dyDescent="0.2">
      <c r="KE23053" s="69"/>
    </row>
    <row r="23054" spans="291:291" x14ac:dyDescent="0.2">
      <c r="KE23054" s="69"/>
    </row>
    <row r="23058" spans="291:291" x14ac:dyDescent="0.2">
      <c r="KE23058" s="69"/>
    </row>
    <row r="23080" spans="291:291" x14ac:dyDescent="0.2">
      <c r="KE23080" s="69"/>
    </row>
    <row r="23089" spans="291:291" x14ac:dyDescent="0.2">
      <c r="KE23089" s="69"/>
    </row>
    <row r="23116" spans="291:291" x14ac:dyDescent="0.2">
      <c r="KE23116" s="69"/>
    </row>
    <row r="23118" spans="291:291" x14ac:dyDescent="0.2">
      <c r="KE23118" s="69"/>
    </row>
    <row r="23121" spans="291:291" x14ac:dyDescent="0.2">
      <c r="KE23121" s="69"/>
    </row>
    <row r="23126" spans="291:291" x14ac:dyDescent="0.2">
      <c r="KE23126" s="69"/>
    </row>
    <row r="23142" spans="291:291" x14ac:dyDescent="0.2">
      <c r="KE23142" s="69"/>
    </row>
    <row r="23144" spans="291:291" x14ac:dyDescent="0.2">
      <c r="KE23144" s="69"/>
    </row>
    <row r="23146" spans="291:291" x14ac:dyDescent="0.2">
      <c r="KE23146" s="69"/>
    </row>
    <row r="23156" spans="291:291" x14ac:dyDescent="0.2">
      <c r="KE23156" s="69"/>
    </row>
    <row r="23158" spans="291:291" x14ac:dyDescent="0.2">
      <c r="KE23158" s="69"/>
    </row>
    <row r="23169" spans="291:291" x14ac:dyDescent="0.2">
      <c r="KE23169" s="69"/>
    </row>
    <row r="23173" spans="291:291" x14ac:dyDescent="0.2">
      <c r="KE23173" s="69"/>
    </row>
    <row r="23174" spans="291:291" x14ac:dyDescent="0.2">
      <c r="KE23174" s="69"/>
    </row>
    <row r="23177" spans="291:291" x14ac:dyDescent="0.2">
      <c r="KE23177" s="69"/>
    </row>
    <row r="23179" spans="291:291" x14ac:dyDescent="0.2">
      <c r="KE23179" s="69"/>
    </row>
    <row r="23184" spans="291:291" x14ac:dyDescent="0.2">
      <c r="KE23184" s="69"/>
    </row>
    <row r="23214" spans="291:291" x14ac:dyDescent="0.2">
      <c r="KE23214" s="69"/>
    </row>
    <row r="23218" spans="291:291" x14ac:dyDescent="0.2">
      <c r="KE23218" s="69"/>
    </row>
    <row r="23219" spans="291:291" x14ac:dyDescent="0.2">
      <c r="KE23219" s="69"/>
    </row>
    <row r="23240" spans="291:291" x14ac:dyDescent="0.2">
      <c r="KE23240" s="69"/>
    </row>
    <row r="23248" spans="291:291" x14ac:dyDescent="0.2">
      <c r="KE23248" s="69"/>
    </row>
    <row r="23267" spans="291:291" x14ac:dyDescent="0.2">
      <c r="KE23267" s="69"/>
    </row>
    <row r="23273" spans="291:291" x14ac:dyDescent="0.2">
      <c r="KE23273" s="69"/>
    </row>
    <row r="23275" spans="291:291" x14ac:dyDescent="0.2">
      <c r="KE23275" s="69"/>
    </row>
    <row r="23279" spans="291:291" x14ac:dyDescent="0.2">
      <c r="KE23279" s="69"/>
    </row>
    <row r="23283" spans="291:291" x14ac:dyDescent="0.2">
      <c r="KE23283" s="69"/>
    </row>
    <row r="23287" spans="291:291" x14ac:dyDescent="0.2">
      <c r="KE23287" s="69"/>
    </row>
    <row r="23297" spans="291:291" x14ac:dyDescent="0.2">
      <c r="KE23297" s="69"/>
    </row>
    <row r="23305" spans="291:291" x14ac:dyDescent="0.2">
      <c r="KE23305" s="69"/>
    </row>
    <row r="23313" spans="291:291" x14ac:dyDescent="0.2">
      <c r="KE23313" s="69"/>
    </row>
    <row r="23315" spans="291:291" x14ac:dyDescent="0.2">
      <c r="KE23315" s="69"/>
    </row>
    <row r="23317" spans="291:291" x14ac:dyDescent="0.2">
      <c r="KE23317" s="69"/>
    </row>
    <row r="23327" spans="291:291" x14ac:dyDescent="0.2">
      <c r="KE23327" s="69"/>
    </row>
    <row r="23331" spans="291:291" x14ac:dyDescent="0.2">
      <c r="KE23331" s="69"/>
    </row>
    <row r="23346" spans="291:291" x14ac:dyDescent="0.2">
      <c r="KE23346" s="69"/>
    </row>
    <row r="23348" spans="291:291" x14ac:dyDescent="0.2">
      <c r="KE23348" s="69"/>
    </row>
    <row r="23354" spans="291:291" x14ac:dyDescent="0.2">
      <c r="KE23354" s="69"/>
    </row>
    <row r="23364" spans="291:291" x14ac:dyDescent="0.2">
      <c r="KE23364" s="69"/>
    </row>
    <row r="23366" spans="291:291" x14ac:dyDescent="0.2">
      <c r="KE23366" s="69"/>
    </row>
    <row r="23376" spans="291:291" x14ac:dyDescent="0.2">
      <c r="KE23376" s="69"/>
    </row>
    <row r="23382" spans="291:291" x14ac:dyDescent="0.2">
      <c r="KE23382" s="69"/>
    </row>
    <row r="23411" spans="291:291" x14ac:dyDescent="0.2">
      <c r="KE23411" s="69"/>
    </row>
    <row r="23430" spans="291:291" x14ac:dyDescent="0.2">
      <c r="KE23430" s="69"/>
    </row>
    <row r="23432" spans="291:291" x14ac:dyDescent="0.2">
      <c r="KE23432" s="69"/>
    </row>
    <row r="23441" spans="291:291" x14ac:dyDescent="0.2">
      <c r="KE23441" s="69"/>
    </row>
    <row r="23442" spans="291:291" x14ac:dyDescent="0.2">
      <c r="KE23442" s="69"/>
    </row>
    <row r="23443" spans="291:291" x14ac:dyDescent="0.2">
      <c r="KE23443" s="69"/>
    </row>
    <row r="23444" spans="291:291" x14ac:dyDescent="0.2">
      <c r="KE23444" s="69"/>
    </row>
    <row r="23459" spans="291:291" x14ac:dyDescent="0.2">
      <c r="KE23459" s="69"/>
    </row>
    <row r="23461" spans="291:291" x14ac:dyDescent="0.2">
      <c r="KE23461" s="69"/>
    </row>
    <row r="23463" spans="291:291" x14ac:dyDescent="0.2">
      <c r="KE23463" s="69"/>
    </row>
    <row r="23469" spans="291:291" x14ac:dyDescent="0.2">
      <c r="KE23469" s="69"/>
    </row>
    <row r="23475" spans="291:291" x14ac:dyDescent="0.2">
      <c r="KE23475" s="69"/>
    </row>
    <row r="23497" spans="291:291" x14ac:dyDescent="0.2">
      <c r="KE23497" s="69"/>
    </row>
    <row r="23499" spans="291:291" x14ac:dyDescent="0.2">
      <c r="KE23499" s="69"/>
    </row>
    <row r="23500" spans="291:291" x14ac:dyDescent="0.2">
      <c r="KE23500" s="69"/>
    </row>
    <row r="23506" spans="291:291" x14ac:dyDescent="0.2">
      <c r="KE23506" s="69"/>
    </row>
    <row r="23508" spans="291:291" x14ac:dyDescent="0.2">
      <c r="KE23508" s="69"/>
    </row>
    <row r="23581" spans="291:291" x14ac:dyDescent="0.2">
      <c r="KE23581" s="69"/>
    </row>
    <row r="23610" spans="291:291" x14ac:dyDescent="0.2">
      <c r="KE23610" s="69"/>
    </row>
    <row r="23612" spans="291:291" x14ac:dyDescent="0.2">
      <c r="KE23612" s="69"/>
    </row>
    <row r="23620" spans="291:291" x14ac:dyDescent="0.2">
      <c r="KE23620" s="69"/>
    </row>
    <row r="23644" spans="291:291" x14ac:dyDescent="0.2">
      <c r="KE23644" s="69"/>
    </row>
    <row r="23665" spans="291:291" x14ac:dyDescent="0.2">
      <c r="KE23665" s="69"/>
    </row>
    <row r="23667" spans="291:291" x14ac:dyDescent="0.2">
      <c r="KE23667" s="69"/>
    </row>
    <row r="23676" spans="291:291" x14ac:dyDescent="0.2">
      <c r="KE23676" s="69"/>
    </row>
    <row r="23677" spans="291:291" x14ac:dyDescent="0.2">
      <c r="KE23677" s="69"/>
    </row>
    <row r="23705" spans="291:291" x14ac:dyDescent="0.2">
      <c r="KE23705" s="69"/>
    </row>
    <row r="23711" spans="291:291" x14ac:dyDescent="0.2">
      <c r="KE23711" s="69"/>
    </row>
    <row r="23725" spans="291:291" x14ac:dyDescent="0.2">
      <c r="KE23725" s="69"/>
    </row>
    <row r="23726" spans="291:291" x14ac:dyDescent="0.2">
      <c r="KE23726" s="69"/>
    </row>
    <row r="23727" spans="291:291" x14ac:dyDescent="0.2">
      <c r="KE23727" s="69"/>
    </row>
    <row r="23729" spans="291:291" x14ac:dyDescent="0.2">
      <c r="KE23729" s="69"/>
    </row>
    <row r="23731" spans="291:291" x14ac:dyDescent="0.2">
      <c r="KE23731" s="69"/>
    </row>
    <row r="23732" spans="291:291" x14ac:dyDescent="0.2">
      <c r="KE23732" s="69"/>
    </row>
    <row r="23738" spans="291:291" x14ac:dyDescent="0.2">
      <c r="KE23738" s="69"/>
    </row>
    <row r="23739" spans="291:291" x14ac:dyDescent="0.2">
      <c r="KE23739" s="69"/>
    </row>
    <row r="23740" spans="291:291" x14ac:dyDescent="0.2">
      <c r="KE23740" s="69"/>
    </row>
    <row r="23741" spans="291:291" x14ac:dyDescent="0.2">
      <c r="KE23741" s="69"/>
    </row>
    <row r="23742" spans="291:291" x14ac:dyDescent="0.2">
      <c r="KE23742" s="69"/>
    </row>
    <row r="23743" spans="291:291" x14ac:dyDescent="0.2">
      <c r="KE23743" s="69"/>
    </row>
    <row r="23744" spans="291:291" x14ac:dyDescent="0.2">
      <c r="KE23744" s="69"/>
    </row>
    <row r="23745" spans="291:291" x14ac:dyDescent="0.2">
      <c r="KE23745" s="69"/>
    </row>
    <row r="23746" spans="291:291" x14ac:dyDescent="0.2">
      <c r="KE23746" s="69"/>
    </row>
    <row r="23747" spans="291:291" x14ac:dyDescent="0.2">
      <c r="KE23747" s="69"/>
    </row>
    <row r="23748" spans="291:291" x14ac:dyDescent="0.2">
      <c r="KE23748" s="69"/>
    </row>
    <row r="23749" spans="291:291" x14ac:dyDescent="0.2">
      <c r="KE23749" s="69"/>
    </row>
    <row r="23750" spans="291:291" x14ac:dyDescent="0.2">
      <c r="KE23750" s="69"/>
    </row>
    <row r="23751" spans="291:291" x14ac:dyDescent="0.2">
      <c r="KE23751" s="69"/>
    </row>
    <row r="23752" spans="291:291" x14ac:dyDescent="0.2">
      <c r="KE23752" s="69"/>
    </row>
    <row r="23753" spans="291:291" x14ac:dyDescent="0.2">
      <c r="KE23753" s="69"/>
    </row>
    <row r="23754" spans="291:291" x14ac:dyDescent="0.2">
      <c r="KE23754" s="69"/>
    </row>
    <row r="23755" spans="291:291" x14ac:dyDescent="0.2">
      <c r="KE23755" s="69"/>
    </row>
    <row r="23756" spans="291:291" x14ac:dyDescent="0.2">
      <c r="KE23756" s="69"/>
    </row>
    <row r="23757" spans="291:291" x14ac:dyDescent="0.2">
      <c r="KE23757" s="69"/>
    </row>
    <row r="23758" spans="291:291" x14ac:dyDescent="0.2">
      <c r="KE23758" s="69"/>
    </row>
    <row r="23759" spans="291:291" x14ac:dyDescent="0.2">
      <c r="KE23759" s="69"/>
    </row>
    <row r="23760" spans="291:291" x14ac:dyDescent="0.2">
      <c r="KE23760" s="69"/>
    </row>
    <row r="23761" spans="291:291" x14ac:dyDescent="0.2">
      <c r="KE23761" s="69"/>
    </row>
    <row r="23762" spans="291:291" x14ac:dyDescent="0.2">
      <c r="KE23762" s="69"/>
    </row>
    <row r="23763" spans="291:291" x14ac:dyDescent="0.2">
      <c r="KE23763" s="69"/>
    </row>
    <row r="23764" spans="291:291" x14ac:dyDescent="0.2">
      <c r="KE23764" s="69"/>
    </row>
    <row r="23765" spans="291:291" x14ac:dyDescent="0.2">
      <c r="KE23765" s="69"/>
    </row>
    <row r="23766" spans="291:291" x14ac:dyDescent="0.2">
      <c r="KE23766" s="69"/>
    </row>
    <row r="23767" spans="291:291" x14ac:dyDescent="0.2">
      <c r="KE23767" s="69"/>
    </row>
    <row r="23768" spans="291:291" x14ac:dyDescent="0.2">
      <c r="KE23768" s="69"/>
    </row>
    <row r="23769" spans="291:291" x14ac:dyDescent="0.2">
      <c r="KE23769" s="69"/>
    </row>
    <row r="23770" spans="291:291" x14ac:dyDescent="0.2">
      <c r="KE23770" s="69"/>
    </row>
    <row r="23773" spans="291:291" x14ac:dyDescent="0.2">
      <c r="KE23773" s="69"/>
    </row>
    <row r="23774" spans="291:291" x14ac:dyDescent="0.2">
      <c r="KE23774" s="69"/>
    </row>
    <row r="23786" spans="291:291" x14ac:dyDescent="0.2">
      <c r="KE23786" s="69"/>
    </row>
    <row r="23787" spans="291:291" x14ac:dyDescent="0.2">
      <c r="KE23787" s="69"/>
    </row>
    <row r="23789" spans="291:291" x14ac:dyDescent="0.2">
      <c r="KE23789" s="69"/>
    </row>
    <row r="23790" spans="291:291" x14ac:dyDescent="0.2">
      <c r="KE23790" s="69"/>
    </row>
    <row r="23791" spans="291:291" x14ac:dyDescent="0.2">
      <c r="KE23791" s="69"/>
    </row>
    <row r="23794" spans="291:291" x14ac:dyDescent="0.2">
      <c r="KE23794" s="69"/>
    </row>
    <row r="23795" spans="291:291" x14ac:dyDescent="0.2">
      <c r="KE23795" s="69"/>
    </row>
    <row r="23796" spans="291:291" x14ac:dyDescent="0.2">
      <c r="KE23796" s="69"/>
    </row>
    <row r="23799" spans="291:291" x14ac:dyDescent="0.2">
      <c r="KE23799" s="69"/>
    </row>
    <row r="23803" spans="291:291" x14ac:dyDescent="0.2">
      <c r="KE23803" s="69"/>
    </row>
    <row r="23806" spans="291:291" x14ac:dyDescent="0.2">
      <c r="KE23806" s="69"/>
    </row>
    <row r="23807" spans="291:291" x14ac:dyDescent="0.2">
      <c r="KE23807" s="69"/>
    </row>
    <row r="23826" spans="291:291" x14ac:dyDescent="0.2">
      <c r="KE23826" s="69"/>
    </row>
    <row r="23828" spans="291:291" x14ac:dyDescent="0.2">
      <c r="KE23828" s="69"/>
    </row>
    <row r="23830" spans="291:291" x14ac:dyDescent="0.2">
      <c r="KE23830" s="69"/>
    </row>
  </sheetData>
  <autoFilter ref="A1:MT1" xr:uid="{00000000-0009-0000-0000-000001000000}"/>
  <phoneticPr fontId="1" type="noConversion"/>
  <pageMargins left="0.59055118110236227" right="0" top="0.94488188976377963" bottom="0.55118110236220474" header="0.15748031496062992" footer="0.23622047244094491"/>
  <pageSetup paperSize="5" scale="70" orientation="landscape" r:id="rId1"/>
  <headerFooter alignWithMargins="0">
    <oddHeader>&amp;L&amp;"Arial,Bold"DISCOVER COMMUNICATIONS INC.
NEW ACTIVATIONS
Jan 01-31, 2019</oddHeader>
    <oddFooter>&amp;CPage &amp;P of &amp;N&amp;R&amp;F&amp;A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BC113"/>
  <sheetViews>
    <sheetView zoomScaleNormal="100" workbookViewId="0">
      <pane ySplit="1" topLeftCell="A2" activePane="bottomLeft" state="frozen"/>
      <selection activeCell="C6" sqref="C6:F6"/>
      <selection pane="bottomLeft" sqref="A1:XFD1"/>
    </sheetView>
  </sheetViews>
  <sheetFormatPr defaultColWidth="9.7265625" defaultRowHeight="10" x14ac:dyDescent="0.2"/>
  <cols>
    <col min="1" max="1" width="11.81640625" style="66" customWidth="1"/>
    <col min="2" max="2" width="14" style="66" customWidth="1"/>
    <col min="3" max="3" width="4.81640625" style="66" customWidth="1"/>
    <col min="4" max="4" width="6.54296875" style="66" customWidth="1"/>
    <col min="5" max="5" width="10" style="71" customWidth="1"/>
    <col min="6" max="6" width="9" style="71" customWidth="1"/>
    <col min="7" max="7" width="9.1796875" style="66" customWidth="1"/>
    <col min="8" max="8" width="11.7265625" style="66" customWidth="1"/>
    <col min="9" max="9" width="10.1796875" style="66" customWidth="1"/>
    <col min="10" max="10" width="4.453125" style="66" customWidth="1"/>
    <col min="11" max="11" width="9.1796875" style="66" customWidth="1"/>
    <col min="12" max="12" width="11" style="66" customWidth="1"/>
    <col min="13" max="13" width="9.453125" style="66" bestFit="1" customWidth="1"/>
    <col min="14" max="14" width="8.7265625" style="66" customWidth="1"/>
    <col min="15" max="15" width="7.54296875" style="66" bestFit="1" customWidth="1"/>
    <col min="16" max="16" width="10.453125" style="66" bestFit="1" customWidth="1"/>
    <col min="17" max="17" width="5.7265625" style="66" customWidth="1"/>
    <col min="18" max="18" width="3.54296875" style="66" bestFit="1" customWidth="1"/>
    <col min="19" max="19" width="10.453125" style="66" customWidth="1"/>
    <col min="20" max="20" width="19.7265625" style="66" bestFit="1" customWidth="1"/>
    <col min="21" max="21" width="7" style="66" customWidth="1"/>
    <col min="22" max="22" width="8.1796875" style="66" bestFit="1" customWidth="1"/>
    <col min="23" max="23" width="11.26953125" style="66" bestFit="1" customWidth="1"/>
    <col min="24" max="24" width="9.453125" style="66" bestFit="1" customWidth="1"/>
    <col min="25" max="25" width="9.26953125" style="66" bestFit="1" customWidth="1"/>
    <col min="26" max="26" width="9.81640625" style="66" bestFit="1" customWidth="1"/>
    <col min="27" max="27" width="13.54296875" style="66" bestFit="1" customWidth="1"/>
    <col min="28" max="28" width="3.81640625" style="66" customWidth="1"/>
    <col min="29" max="29" width="8.54296875" style="66" bestFit="1" customWidth="1"/>
    <col min="30" max="30" width="4.1796875" style="66" customWidth="1"/>
    <col min="31" max="32" width="4" style="66" customWidth="1"/>
    <col min="33" max="33" width="4.1796875" style="66" customWidth="1"/>
    <col min="34" max="34" width="9.453125" style="66" bestFit="1" customWidth="1"/>
    <col min="35" max="35" width="10" style="66" bestFit="1" customWidth="1"/>
    <col min="36" max="36" width="20.453125" style="66" bestFit="1" customWidth="1"/>
    <col min="37" max="37" width="13.54296875" style="66" bestFit="1" customWidth="1"/>
    <col min="38" max="38" width="14.1796875" style="66" bestFit="1" customWidth="1"/>
    <col min="39" max="39" width="5.453125" style="66" customWidth="1"/>
    <col min="40" max="40" width="13.453125" style="66" bestFit="1" customWidth="1"/>
    <col min="41" max="41" width="21.54296875" style="66" customWidth="1"/>
    <col min="42" max="42" width="14.453125" style="66" customWidth="1"/>
    <col min="43" max="45" width="16.26953125" style="66" customWidth="1"/>
    <col min="46" max="46" width="21.54296875" style="66" customWidth="1"/>
    <col min="47" max="47" width="10.1796875" style="66" customWidth="1"/>
    <col min="48" max="48" width="13.81640625" style="66" customWidth="1"/>
    <col min="49" max="49" width="15.26953125" style="66" customWidth="1"/>
    <col min="50" max="50" width="11.453125" style="66" customWidth="1"/>
    <col min="51" max="51" width="15.81640625" style="66" customWidth="1"/>
    <col min="52" max="52" width="13.54296875" style="66" customWidth="1"/>
    <col min="53" max="53" width="12.7265625" style="66" customWidth="1"/>
    <col min="54" max="54" width="15.7265625" style="66" customWidth="1"/>
    <col min="55" max="55" width="13" style="66" customWidth="1"/>
    <col min="56" max="56" width="12.7265625" style="66" customWidth="1"/>
    <col min="57" max="16384" width="9.7265625" style="66"/>
  </cols>
  <sheetData>
    <row r="1" spans="1:55" s="68" customFormat="1" ht="12.5" x14ac:dyDescent="0.25">
      <c r="A1" s="67" t="s">
        <v>41</v>
      </c>
      <c r="B1" s="67" t="s">
        <v>42</v>
      </c>
      <c r="C1" s="67" t="s">
        <v>43</v>
      </c>
      <c r="D1" s="67" t="s">
        <v>38</v>
      </c>
      <c r="E1" s="79" t="s">
        <v>45</v>
      </c>
      <c r="F1" s="79" t="s">
        <v>46</v>
      </c>
      <c r="G1" s="67" t="s">
        <v>1</v>
      </c>
      <c r="H1" s="67" t="s">
        <v>47</v>
      </c>
      <c r="I1" s="67" t="s">
        <v>143</v>
      </c>
      <c r="J1" s="67" t="s">
        <v>48</v>
      </c>
      <c r="K1" s="67" t="s">
        <v>49</v>
      </c>
      <c r="L1" s="67" t="s">
        <v>50</v>
      </c>
      <c r="M1" s="67" t="s">
        <v>160</v>
      </c>
      <c r="N1" s="67" t="s">
        <v>51</v>
      </c>
      <c r="O1" s="67" t="s">
        <v>52</v>
      </c>
      <c r="P1" s="67" t="s">
        <v>53</v>
      </c>
      <c r="Q1" s="67" t="s">
        <v>44</v>
      </c>
      <c r="R1" s="67" t="s">
        <v>54</v>
      </c>
      <c r="S1" s="67" t="s">
        <v>55</v>
      </c>
      <c r="T1" s="67" t="s">
        <v>154</v>
      </c>
      <c r="U1" s="67" t="s">
        <v>56</v>
      </c>
      <c r="V1" s="67" t="s">
        <v>144</v>
      </c>
      <c r="W1" s="67" t="s">
        <v>145</v>
      </c>
      <c r="X1" s="67" t="s">
        <v>146</v>
      </c>
      <c r="Y1" s="67" t="s">
        <v>147</v>
      </c>
      <c r="Z1" s="67" t="s">
        <v>3</v>
      </c>
      <c r="AA1" s="67" t="s">
        <v>58</v>
      </c>
      <c r="AB1" s="67" t="s">
        <v>59</v>
      </c>
      <c r="AC1" s="67" t="s">
        <v>60</v>
      </c>
      <c r="AD1" s="67" t="s">
        <v>148</v>
      </c>
      <c r="AE1" s="67" t="s">
        <v>149</v>
      </c>
      <c r="AF1" s="67" t="s">
        <v>150</v>
      </c>
      <c r="AG1" s="67" t="s">
        <v>151</v>
      </c>
      <c r="AH1" s="67" t="s">
        <v>152</v>
      </c>
      <c r="AI1" s="67" t="s">
        <v>136</v>
      </c>
      <c r="AJ1" s="67" t="s">
        <v>64</v>
      </c>
      <c r="AK1" s="67" t="s">
        <v>137</v>
      </c>
      <c r="AL1" s="67" t="s">
        <v>65</v>
      </c>
      <c r="AM1" s="67" t="s">
        <v>153</v>
      </c>
      <c r="AN1" s="67" t="s">
        <v>94</v>
      </c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</row>
    <row r="2" spans="1:55" ht="12.5" x14ac:dyDescent="0.25"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</row>
    <row r="3" spans="1:55" ht="12.5" x14ac:dyDescent="0.25"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</row>
    <row r="4" spans="1:55" ht="12.5" x14ac:dyDescent="0.25"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</row>
    <row r="5" spans="1:55" ht="12.5" x14ac:dyDescent="0.25"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</row>
    <row r="6" spans="1:55" ht="12.5" x14ac:dyDescent="0.25"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</row>
    <row r="7" spans="1:55" ht="12.5" x14ac:dyDescent="0.25"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</row>
    <row r="8" spans="1:55" ht="12.5" x14ac:dyDescent="0.25"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</row>
    <row r="9" spans="1:55" ht="12.5" x14ac:dyDescent="0.25"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</row>
    <row r="10" spans="1:55" ht="12.5" x14ac:dyDescent="0.25"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</row>
    <row r="11" spans="1:55" ht="12.5" x14ac:dyDescent="0.25"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</row>
    <row r="12" spans="1:55" ht="12.5" x14ac:dyDescent="0.25"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</row>
    <row r="13" spans="1:55" ht="12.5" x14ac:dyDescent="0.25"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</row>
    <row r="14" spans="1:55" ht="12.5" x14ac:dyDescent="0.25"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</row>
    <row r="15" spans="1:55" ht="12.5" x14ac:dyDescent="0.25"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</row>
    <row r="16" spans="1:55" ht="12.5" x14ac:dyDescent="0.25"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</row>
    <row r="17" spans="37:55" ht="12.5" x14ac:dyDescent="0.25"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</row>
    <row r="18" spans="37:55" ht="12.5" x14ac:dyDescent="0.25"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</row>
    <row r="19" spans="37:55" ht="12.5" x14ac:dyDescent="0.25"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</row>
    <row r="20" spans="37:55" ht="12.5" x14ac:dyDescent="0.25"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</row>
    <row r="21" spans="37:55" ht="12.5" x14ac:dyDescent="0.25"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</row>
    <row r="22" spans="37:55" ht="12.5" x14ac:dyDescent="0.25"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</row>
    <row r="23" spans="37:55" ht="12.5" x14ac:dyDescent="0.25"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</row>
    <row r="24" spans="37:55" ht="12.5" x14ac:dyDescent="0.25"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</row>
    <row r="25" spans="37:55" ht="12.5" x14ac:dyDescent="0.25"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</row>
    <row r="26" spans="37:55" ht="12.5" x14ac:dyDescent="0.25"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</row>
    <row r="27" spans="37:55" ht="12.5" x14ac:dyDescent="0.25"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</row>
    <row r="28" spans="37:55" ht="12.5" x14ac:dyDescent="0.25"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</row>
    <row r="29" spans="37:55" ht="12.5" x14ac:dyDescent="0.25"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</row>
    <row r="30" spans="37:55" ht="12.5" x14ac:dyDescent="0.25"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</row>
    <row r="31" spans="37:55" ht="12.5" x14ac:dyDescent="0.25"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</row>
    <row r="32" spans="37:55" ht="12.5" x14ac:dyDescent="0.25"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</row>
    <row r="33" spans="37:55" ht="12.5" x14ac:dyDescent="0.25"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</row>
    <row r="34" spans="37:55" ht="12.5" x14ac:dyDescent="0.25"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</row>
    <row r="35" spans="37:55" ht="12.5" x14ac:dyDescent="0.25"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</row>
    <row r="36" spans="37:55" ht="12.5" x14ac:dyDescent="0.25"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</row>
    <row r="37" spans="37:55" ht="12.5" x14ac:dyDescent="0.25"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</row>
    <row r="38" spans="37:55" ht="12.5" x14ac:dyDescent="0.25"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</row>
    <row r="39" spans="37:55" ht="12.5" x14ac:dyDescent="0.25"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</row>
    <row r="40" spans="37:55" ht="12.5" x14ac:dyDescent="0.25"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</row>
    <row r="41" spans="37:55" ht="12.5" x14ac:dyDescent="0.25"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</row>
    <row r="42" spans="37:55" ht="12.5" x14ac:dyDescent="0.25"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</row>
    <row r="43" spans="37:55" ht="12.5" x14ac:dyDescent="0.25"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</row>
    <row r="44" spans="37:55" ht="12.5" x14ac:dyDescent="0.25"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</row>
    <row r="45" spans="37:55" ht="12.5" x14ac:dyDescent="0.25"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</row>
    <row r="46" spans="37:55" ht="12.5" x14ac:dyDescent="0.25"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</row>
    <row r="47" spans="37:55" ht="12.5" x14ac:dyDescent="0.25"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</row>
    <row r="48" spans="37:55" ht="12.5" x14ac:dyDescent="0.25"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</row>
    <row r="49" spans="37:55" ht="12.5" x14ac:dyDescent="0.25"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</row>
    <row r="50" spans="37:55" ht="12.5" x14ac:dyDescent="0.25"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</row>
    <row r="51" spans="37:55" ht="12.5" x14ac:dyDescent="0.25"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</row>
    <row r="52" spans="37:55" ht="12.5" x14ac:dyDescent="0.25"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</row>
    <row r="53" spans="37:55" ht="12.5" x14ac:dyDescent="0.25"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</row>
    <row r="54" spans="37:55" ht="12.5" x14ac:dyDescent="0.25"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</row>
    <row r="55" spans="37:55" ht="12.5" x14ac:dyDescent="0.25"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</row>
    <row r="56" spans="37:55" ht="12.5" x14ac:dyDescent="0.25"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</row>
    <row r="57" spans="37:55" ht="12.5" x14ac:dyDescent="0.25"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</row>
    <row r="58" spans="37:55" ht="12.5" x14ac:dyDescent="0.25"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</row>
    <row r="59" spans="37:55" ht="12.5" x14ac:dyDescent="0.25"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</row>
    <row r="60" spans="37:55" ht="12.5" x14ac:dyDescent="0.25"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</row>
    <row r="61" spans="37:55" ht="12.5" x14ac:dyDescent="0.25"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</row>
    <row r="62" spans="37:55" ht="12.5" x14ac:dyDescent="0.25"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</row>
    <row r="63" spans="37:55" ht="12.5" x14ac:dyDescent="0.25"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</row>
    <row r="64" spans="37:55" ht="12.5" x14ac:dyDescent="0.25"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</row>
    <row r="65" spans="37:55" ht="12.5" x14ac:dyDescent="0.25"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</row>
    <row r="66" spans="37:55" ht="12.5" x14ac:dyDescent="0.25"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</row>
    <row r="67" spans="37:55" ht="12.5" x14ac:dyDescent="0.25"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</row>
    <row r="68" spans="37:55" ht="12.5" x14ac:dyDescent="0.25"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</row>
    <row r="69" spans="37:55" ht="12.5" x14ac:dyDescent="0.25"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</row>
    <row r="70" spans="37:55" ht="12.5" x14ac:dyDescent="0.25"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</row>
    <row r="71" spans="37:55" ht="12.5" x14ac:dyDescent="0.25"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</row>
    <row r="72" spans="37:55" ht="12.5" x14ac:dyDescent="0.25"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</row>
    <row r="73" spans="37:55" ht="12.5" x14ac:dyDescent="0.25"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</row>
    <row r="74" spans="37:55" ht="12.5" x14ac:dyDescent="0.25"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</row>
    <row r="75" spans="37:55" ht="12.5" x14ac:dyDescent="0.25"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</row>
    <row r="76" spans="37:55" ht="12.5" x14ac:dyDescent="0.25"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</row>
    <row r="77" spans="37:55" ht="12.5" x14ac:dyDescent="0.25"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</row>
    <row r="78" spans="37:55" ht="12.5" x14ac:dyDescent="0.25"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</row>
    <row r="79" spans="37:55" ht="12.5" x14ac:dyDescent="0.25"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</row>
    <row r="80" spans="37:55" ht="12.5" x14ac:dyDescent="0.25"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</row>
    <row r="81" spans="37:55" ht="12.5" x14ac:dyDescent="0.25"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</row>
    <row r="82" spans="37:55" ht="12.5" x14ac:dyDescent="0.25"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</row>
    <row r="83" spans="37:55" ht="12.5" x14ac:dyDescent="0.25"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</row>
    <row r="84" spans="37:55" ht="12.5" x14ac:dyDescent="0.25"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</row>
    <row r="85" spans="37:55" ht="12.5" x14ac:dyDescent="0.25"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</row>
    <row r="86" spans="37:55" ht="12.5" x14ac:dyDescent="0.25"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</row>
    <row r="87" spans="37:55" ht="12.5" x14ac:dyDescent="0.25"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</row>
    <row r="88" spans="37:55" ht="12.5" x14ac:dyDescent="0.25"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</row>
    <row r="89" spans="37:55" ht="12.5" x14ac:dyDescent="0.25"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</row>
    <row r="90" spans="37:55" ht="12.5" x14ac:dyDescent="0.25"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</row>
    <row r="91" spans="37:55" ht="12.5" x14ac:dyDescent="0.25"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</row>
    <row r="92" spans="37:55" ht="12.5" x14ac:dyDescent="0.25"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</row>
    <row r="93" spans="37:55" ht="12.5" x14ac:dyDescent="0.25"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</row>
    <row r="94" spans="37:55" ht="12.5" x14ac:dyDescent="0.25"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</row>
    <row r="95" spans="37:55" ht="12.5" x14ac:dyDescent="0.25"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</row>
    <row r="96" spans="37:55" ht="12.5" x14ac:dyDescent="0.25"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</row>
    <row r="97" spans="37:55" ht="12.5" x14ac:dyDescent="0.25"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</row>
    <row r="98" spans="37:55" ht="12.5" x14ac:dyDescent="0.25"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</row>
    <row r="99" spans="37:55" ht="12.5" x14ac:dyDescent="0.25"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</row>
    <row r="100" spans="37:55" ht="12.5" x14ac:dyDescent="0.25"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</row>
    <row r="101" spans="37:55" ht="12.5" x14ac:dyDescent="0.25"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</row>
    <row r="102" spans="37:55" ht="12.5" x14ac:dyDescent="0.25"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</row>
    <row r="103" spans="37:55" ht="12.5" x14ac:dyDescent="0.25"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</row>
    <row r="104" spans="37:55" ht="12.5" x14ac:dyDescent="0.25"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</row>
    <row r="105" spans="37:55" ht="12.5" x14ac:dyDescent="0.25"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</row>
    <row r="106" spans="37:55" ht="12.5" x14ac:dyDescent="0.25"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</row>
    <row r="107" spans="37:55" ht="12.5" x14ac:dyDescent="0.25"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</row>
    <row r="108" spans="37:55" ht="12.5" x14ac:dyDescent="0.25"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</row>
    <row r="109" spans="37:55" ht="12.5" x14ac:dyDescent="0.25"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</row>
    <row r="110" spans="37:55" ht="12.5" x14ac:dyDescent="0.25"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</row>
    <row r="111" spans="37:55" ht="12.5" x14ac:dyDescent="0.25"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</row>
    <row r="112" spans="37:55" ht="12.5" x14ac:dyDescent="0.25"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</row>
    <row r="113" spans="37:55" ht="12.5" x14ac:dyDescent="0.25"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</row>
  </sheetData>
  <autoFilter ref="A1:BD1" xr:uid="{00000000-0009-0000-0000-000002000000}"/>
  <pageMargins left="0.59055118110236227" right="0" top="0.94488188976377963" bottom="0.55118110236220474" header="0.15748031496062992" footer="0.23622047244094491"/>
  <pageSetup paperSize="5" scale="70" orientation="landscape" r:id="rId1"/>
  <headerFooter alignWithMargins="0">
    <oddHeader xml:space="preserve">&amp;L&amp;"Arial,Bold"DISCOVER COMMUNICATIONS INC.
FFF-RIL
Jan 01-31, 2018&amp;"Arial,Regular"
</oddHeader>
    <oddFooter>&amp;CPage &amp;P of &amp;N&amp;R&amp;F&amp;A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F83"/>
  <sheetViews>
    <sheetView topLeftCell="A19" workbookViewId="0">
      <selection activeCell="C38" sqref="C38"/>
    </sheetView>
  </sheetViews>
  <sheetFormatPr defaultRowHeight="12.5" x14ac:dyDescent="0.25"/>
  <cols>
    <col min="1" max="1" width="4.7265625" customWidth="1"/>
    <col min="2" max="2" width="34.7265625" bestFit="1" customWidth="1"/>
    <col min="3" max="3" width="22.453125" customWidth="1"/>
    <col min="4" max="4" width="17.26953125" customWidth="1"/>
    <col min="5" max="5" width="16.54296875" customWidth="1"/>
  </cols>
  <sheetData>
    <row r="2" spans="1:4" ht="13" x14ac:dyDescent="0.3">
      <c r="A2" s="74" t="s">
        <v>183</v>
      </c>
    </row>
    <row r="3" spans="1:4" ht="13" x14ac:dyDescent="0.3">
      <c r="A3" s="74"/>
    </row>
    <row r="4" spans="1:4" ht="13" x14ac:dyDescent="0.3">
      <c r="B4" s="74" t="s">
        <v>184</v>
      </c>
    </row>
    <row r="5" spans="1:4" x14ac:dyDescent="0.25">
      <c r="B5" s="75"/>
    </row>
    <row r="6" spans="1:4" x14ac:dyDescent="0.25">
      <c r="B6" s="75" t="s">
        <v>185</v>
      </c>
      <c r="C6" s="75" t="s">
        <v>41</v>
      </c>
      <c r="D6" s="75" t="s">
        <v>43</v>
      </c>
    </row>
    <row r="7" spans="1:4" x14ac:dyDescent="0.25">
      <c r="B7" s="75" t="s">
        <v>186</v>
      </c>
      <c r="C7" t="str">
        <f>Invoice!C5</f>
        <v>BCC</v>
      </c>
      <c r="D7" s="75" t="s">
        <v>2</v>
      </c>
    </row>
    <row r="9" spans="1:4" x14ac:dyDescent="0.25">
      <c r="B9" s="75" t="s">
        <v>185</v>
      </c>
      <c r="C9" s="75" t="s">
        <v>41</v>
      </c>
      <c r="D9" s="75" t="s">
        <v>43</v>
      </c>
    </row>
    <row r="10" spans="1:4" x14ac:dyDescent="0.25">
      <c r="B10" s="75" t="s">
        <v>187</v>
      </c>
      <c r="C10" t="str">
        <f>Invoice!C5</f>
        <v>BCC</v>
      </c>
      <c r="D10" s="75" t="s">
        <v>14</v>
      </c>
    </row>
    <row r="12" spans="1:4" x14ac:dyDescent="0.25">
      <c r="B12" s="75" t="s">
        <v>185</v>
      </c>
      <c r="C12" s="75" t="s">
        <v>41</v>
      </c>
      <c r="D12" s="75" t="s">
        <v>43</v>
      </c>
    </row>
    <row r="13" spans="1:4" x14ac:dyDescent="0.25">
      <c r="B13" s="75" t="s">
        <v>188</v>
      </c>
      <c r="C13" t="str">
        <f>Invoice!C5</f>
        <v>BCC</v>
      </c>
      <c r="D13" s="75" t="s">
        <v>18</v>
      </c>
    </row>
    <row r="15" spans="1:4" x14ac:dyDescent="0.25">
      <c r="B15" s="75" t="s">
        <v>185</v>
      </c>
      <c r="C15" s="75" t="s">
        <v>41</v>
      </c>
      <c r="D15" s="75" t="s">
        <v>43</v>
      </c>
    </row>
    <row r="16" spans="1:4" x14ac:dyDescent="0.25">
      <c r="B16" s="75" t="s">
        <v>189</v>
      </c>
      <c r="C16" t="str">
        <f>Invoice!C5</f>
        <v>BCC</v>
      </c>
      <c r="D16" s="75" t="s">
        <v>6</v>
      </c>
    </row>
    <row r="18" spans="1:5" ht="13" x14ac:dyDescent="0.3">
      <c r="A18" s="74" t="s">
        <v>190</v>
      </c>
      <c r="C18" s="75"/>
    </row>
    <row r="19" spans="1:5" ht="13" x14ac:dyDescent="0.3">
      <c r="B19" s="74"/>
      <c r="C19" s="75"/>
    </row>
    <row r="20" spans="1:5" ht="13" x14ac:dyDescent="0.3">
      <c r="B20" s="74" t="s">
        <v>223</v>
      </c>
      <c r="C20" s="75"/>
      <c r="D20" s="75"/>
      <c r="E20" s="75"/>
    </row>
    <row r="22" spans="1:5" x14ac:dyDescent="0.25">
      <c r="B22" s="75" t="s">
        <v>185</v>
      </c>
      <c r="C22" s="75" t="s">
        <v>41</v>
      </c>
      <c r="D22" s="75" t="s">
        <v>43</v>
      </c>
      <c r="E22" s="75" t="s">
        <v>74</v>
      </c>
    </row>
    <row r="23" spans="1:5" x14ac:dyDescent="0.25">
      <c r="B23" s="75" t="s">
        <v>191</v>
      </c>
      <c r="C23" s="75" t="s">
        <v>168</v>
      </c>
      <c r="D23" s="75" t="s">
        <v>2</v>
      </c>
      <c r="E23" s="75" t="s">
        <v>192</v>
      </c>
    </row>
    <row r="24" spans="1:5" x14ac:dyDescent="0.25">
      <c r="D24" s="75"/>
    </row>
    <row r="25" spans="1:5" x14ac:dyDescent="0.25">
      <c r="B25" s="75" t="s">
        <v>185</v>
      </c>
      <c r="C25" s="75" t="s">
        <v>41</v>
      </c>
      <c r="D25" s="75" t="s">
        <v>43</v>
      </c>
      <c r="E25" s="75" t="s">
        <v>74</v>
      </c>
    </row>
    <row r="26" spans="1:5" x14ac:dyDescent="0.25">
      <c r="B26" s="75" t="s">
        <v>193</v>
      </c>
      <c r="C26" s="75" t="s">
        <v>168</v>
      </c>
      <c r="D26" s="75" t="s">
        <v>14</v>
      </c>
      <c r="E26" s="75" t="s">
        <v>192</v>
      </c>
    </row>
    <row r="27" spans="1:5" x14ac:dyDescent="0.25">
      <c r="D27" s="75"/>
    </row>
    <row r="28" spans="1:5" x14ac:dyDescent="0.25">
      <c r="B28" s="75" t="s">
        <v>185</v>
      </c>
      <c r="C28" s="75" t="s">
        <v>41</v>
      </c>
      <c r="D28" s="75" t="s">
        <v>43</v>
      </c>
      <c r="E28" s="75" t="s">
        <v>74</v>
      </c>
    </row>
    <row r="29" spans="1:5" x14ac:dyDescent="0.25">
      <c r="B29" s="75" t="s">
        <v>194</v>
      </c>
      <c r="C29" s="75" t="s">
        <v>168</v>
      </c>
      <c r="D29" s="75" t="s">
        <v>18</v>
      </c>
      <c r="E29" s="75" t="s">
        <v>192</v>
      </c>
    </row>
    <row r="30" spans="1:5" x14ac:dyDescent="0.25">
      <c r="D30" s="75"/>
    </row>
    <row r="31" spans="1:5" x14ac:dyDescent="0.25">
      <c r="B31" s="75" t="s">
        <v>185</v>
      </c>
      <c r="C31" s="75" t="s">
        <v>41</v>
      </c>
      <c r="D31" s="75" t="s">
        <v>43</v>
      </c>
      <c r="E31" s="75" t="s">
        <v>74</v>
      </c>
    </row>
    <row r="32" spans="1:5" x14ac:dyDescent="0.25">
      <c r="B32" s="75" t="s">
        <v>195</v>
      </c>
      <c r="C32" s="75" t="s">
        <v>168</v>
      </c>
      <c r="D32" s="75" t="s">
        <v>6</v>
      </c>
      <c r="E32" s="75" t="s">
        <v>192</v>
      </c>
    </row>
    <row r="35" spans="2:5" ht="13" x14ac:dyDescent="0.3">
      <c r="B35" s="74" t="s">
        <v>223</v>
      </c>
      <c r="C35" s="75"/>
      <c r="D35" s="75"/>
      <c r="E35" s="75"/>
    </row>
    <row r="37" spans="2:5" x14ac:dyDescent="0.25">
      <c r="B37" s="75" t="s">
        <v>185</v>
      </c>
      <c r="C37" s="75" t="s">
        <v>41</v>
      </c>
      <c r="D37" s="75" t="s">
        <v>43</v>
      </c>
      <c r="E37" s="75" t="s">
        <v>74</v>
      </c>
    </row>
    <row r="38" spans="2:5" x14ac:dyDescent="0.25">
      <c r="B38" s="75" t="s">
        <v>224</v>
      </c>
      <c r="C38" s="75" t="s">
        <v>222</v>
      </c>
      <c r="D38" s="75" t="s">
        <v>2</v>
      </c>
      <c r="E38" s="75" t="s">
        <v>192</v>
      </c>
    </row>
    <row r="39" spans="2:5" x14ac:dyDescent="0.25">
      <c r="D39" s="75"/>
    </row>
    <row r="40" spans="2:5" x14ac:dyDescent="0.25">
      <c r="B40" s="75" t="s">
        <v>185</v>
      </c>
      <c r="C40" s="75" t="s">
        <v>41</v>
      </c>
      <c r="D40" s="75" t="s">
        <v>43</v>
      </c>
      <c r="E40" s="75" t="s">
        <v>74</v>
      </c>
    </row>
    <row r="41" spans="2:5" x14ac:dyDescent="0.25">
      <c r="B41" s="75" t="s">
        <v>225</v>
      </c>
      <c r="C41" s="75" t="s">
        <v>222</v>
      </c>
      <c r="D41" s="75" t="s">
        <v>14</v>
      </c>
      <c r="E41" s="75" t="s">
        <v>192</v>
      </c>
    </row>
    <row r="42" spans="2:5" x14ac:dyDescent="0.25">
      <c r="D42" s="75"/>
    </row>
    <row r="43" spans="2:5" x14ac:dyDescent="0.25">
      <c r="B43" s="75" t="s">
        <v>185</v>
      </c>
      <c r="C43" s="75" t="s">
        <v>41</v>
      </c>
      <c r="D43" s="75" t="s">
        <v>43</v>
      </c>
      <c r="E43" s="75" t="s">
        <v>74</v>
      </c>
    </row>
    <row r="44" spans="2:5" x14ac:dyDescent="0.25">
      <c r="B44" s="75" t="s">
        <v>226</v>
      </c>
      <c r="C44" s="75" t="s">
        <v>222</v>
      </c>
      <c r="D44" s="75" t="s">
        <v>18</v>
      </c>
      <c r="E44" s="75" t="s">
        <v>192</v>
      </c>
    </row>
    <row r="45" spans="2:5" x14ac:dyDescent="0.25">
      <c r="D45" s="75"/>
    </row>
    <row r="46" spans="2:5" x14ac:dyDescent="0.25">
      <c r="B46" s="75" t="s">
        <v>185</v>
      </c>
      <c r="C46" s="75" t="s">
        <v>41</v>
      </c>
      <c r="D46" s="75" t="s">
        <v>43</v>
      </c>
      <c r="E46" s="75" t="s">
        <v>74</v>
      </c>
    </row>
    <row r="47" spans="2:5" x14ac:dyDescent="0.25">
      <c r="B47" s="75" t="s">
        <v>227</v>
      </c>
      <c r="C47" s="75" t="s">
        <v>222</v>
      </c>
      <c r="D47" s="75" t="s">
        <v>6</v>
      </c>
      <c r="E47" s="75" t="s">
        <v>192</v>
      </c>
    </row>
    <row r="50" spans="2:6" ht="13" x14ac:dyDescent="0.3">
      <c r="B50" s="74" t="s">
        <v>196</v>
      </c>
    </row>
    <row r="52" spans="2:6" x14ac:dyDescent="0.25">
      <c r="B52" s="75" t="s">
        <v>185</v>
      </c>
      <c r="C52" s="75" t="s">
        <v>41</v>
      </c>
      <c r="D52" s="75" t="s">
        <v>43</v>
      </c>
      <c r="E52" s="75" t="s">
        <v>74</v>
      </c>
      <c r="F52" s="75"/>
    </row>
    <row r="53" spans="2:6" x14ac:dyDescent="0.25">
      <c r="B53" s="75" t="s">
        <v>197</v>
      </c>
      <c r="C53" t="s">
        <v>163</v>
      </c>
      <c r="D53" s="75" t="s">
        <v>2</v>
      </c>
      <c r="E53" s="75" t="s">
        <v>192</v>
      </c>
      <c r="F53" s="75"/>
    </row>
    <row r="55" spans="2:6" x14ac:dyDescent="0.25">
      <c r="B55" s="75" t="s">
        <v>185</v>
      </c>
      <c r="C55" s="75" t="s">
        <v>41</v>
      </c>
      <c r="D55" s="75" t="s">
        <v>43</v>
      </c>
      <c r="E55" s="75" t="s">
        <v>74</v>
      </c>
      <c r="F55" s="75"/>
    </row>
    <row r="56" spans="2:6" x14ac:dyDescent="0.25">
      <c r="B56" s="75" t="s">
        <v>198</v>
      </c>
      <c r="C56" t="s">
        <v>163</v>
      </c>
      <c r="D56" s="75" t="s">
        <v>14</v>
      </c>
      <c r="E56" s="75" t="s">
        <v>192</v>
      </c>
    </row>
    <row r="58" spans="2:6" x14ac:dyDescent="0.25">
      <c r="B58" s="75" t="s">
        <v>185</v>
      </c>
      <c r="C58" s="75" t="s">
        <v>41</v>
      </c>
      <c r="D58" s="75" t="s">
        <v>43</v>
      </c>
      <c r="E58" s="75" t="s">
        <v>74</v>
      </c>
      <c r="F58" s="75"/>
    </row>
    <row r="59" spans="2:6" x14ac:dyDescent="0.25">
      <c r="B59" s="75" t="s">
        <v>199</v>
      </c>
      <c r="C59" t="s">
        <v>163</v>
      </c>
      <c r="D59" s="75" t="s">
        <v>18</v>
      </c>
      <c r="E59" s="75" t="s">
        <v>192</v>
      </c>
    </row>
    <row r="61" spans="2:6" x14ac:dyDescent="0.25">
      <c r="B61" s="75" t="s">
        <v>185</v>
      </c>
      <c r="C61" s="75" t="s">
        <v>41</v>
      </c>
      <c r="D61" s="75" t="s">
        <v>43</v>
      </c>
      <c r="E61" s="75" t="s">
        <v>74</v>
      </c>
      <c r="F61" s="75"/>
    </row>
    <row r="62" spans="2:6" x14ac:dyDescent="0.25">
      <c r="B62" s="75" t="s">
        <v>200</v>
      </c>
      <c r="C62" t="s">
        <v>163</v>
      </c>
      <c r="D62" s="75" t="s">
        <v>6</v>
      </c>
      <c r="E62" s="75" t="s">
        <v>192</v>
      </c>
    </row>
    <row r="65" spans="2:5" ht="13" x14ac:dyDescent="0.3">
      <c r="B65" s="74" t="s">
        <v>201</v>
      </c>
    </row>
    <row r="67" spans="2:5" x14ac:dyDescent="0.25">
      <c r="B67" s="75" t="s">
        <v>185</v>
      </c>
      <c r="C67" s="75" t="s">
        <v>41</v>
      </c>
      <c r="D67" s="75" t="s">
        <v>43</v>
      </c>
      <c r="E67" s="75" t="s">
        <v>44</v>
      </c>
    </row>
    <row r="68" spans="2:5" x14ac:dyDescent="0.25">
      <c r="B68" s="75" t="s">
        <v>214</v>
      </c>
      <c r="C68" t="s">
        <v>163</v>
      </c>
      <c r="D68" s="75" t="s">
        <v>2</v>
      </c>
      <c r="E68" s="75" t="s">
        <v>213</v>
      </c>
    </row>
    <row r="70" spans="2:5" x14ac:dyDescent="0.25">
      <c r="B70" s="75" t="s">
        <v>185</v>
      </c>
      <c r="C70" s="75" t="s">
        <v>41</v>
      </c>
      <c r="D70" s="75" t="s">
        <v>43</v>
      </c>
      <c r="E70" s="75" t="s">
        <v>44</v>
      </c>
    </row>
    <row r="71" spans="2:5" x14ac:dyDescent="0.25">
      <c r="B71" s="75" t="s">
        <v>215</v>
      </c>
      <c r="C71" t="s">
        <v>163</v>
      </c>
      <c r="D71" s="75" t="s">
        <v>14</v>
      </c>
      <c r="E71" s="75" t="s">
        <v>213</v>
      </c>
    </row>
    <row r="73" spans="2:5" x14ac:dyDescent="0.25">
      <c r="B73" s="75" t="s">
        <v>185</v>
      </c>
      <c r="C73" s="75" t="s">
        <v>41</v>
      </c>
      <c r="D73" s="75" t="s">
        <v>43</v>
      </c>
      <c r="E73" s="75" t="s">
        <v>44</v>
      </c>
    </row>
    <row r="74" spans="2:5" x14ac:dyDescent="0.25">
      <c r="B74" s="75" t="s">
        <v>216</v>
      </c>
      <c r="C74" t="s">
        <v>163</v>
      </c>
      <c r="D74" s="75" t="s">
        <v>18</v>
      </c>
      <c r="E74" s="75" t="s">
        <v>213</v>
      </c>
    </row>
    <row r="76" spans="2:5" x14ac:dyDescent="0.25">
      <c r="B76" s="75" t="s">
        <v>185</v>
      </c>
      <c r="C76" s="75" t="s">
        <v>41</v>
      </c>
      <c r="D76" s="75" t="s">
        <v>43</v>
      </c>
      <c r="E76" s="75" t="s">
        <v>44</v>
      </c>
    </row>
    <row r="77" spans="2:5" x14ac:dyDescent="0.25">
      <c r="B77" s="75" t="s">
        <v>217</v>
      </c>
      <c r="C77" t="s">
        <v>163</v>
      </c>
      <c r="D77" s="75" t="s">
        <v>6</v>
      </c>
      <c r="E77" s="75" t="s">
        <v>213</v>
      </c>
    </row>
    <row r="80" spans="2:5" ht="13" x14ac:dyDescent="0.3">
      <c r="B80" s="74" t="s">
        <v>218</v>
      </c>
    </row>
    <row r="82" spans="2:5" x14ac:dyDescent="0.25">
      <c r="B82" s="75" t="s">
        <v>185</v>
      </c>
      <c r="C82" s="75" t="s">
        <v>41</v>
      </c>
      <c r="D82" s="75" t="s">
        <v>43</v>
      </c>
      <c r="E82" s="75" t="s">
        <v>74</v>
      </c>
    </row>
    <row r="83" spans="2:5" x14ac:dyDescent="0.25">
      <c r="B83" s="75" t="s">
        <v>219</v>
      </c>
      <c r="C83" t="s">
        <v>163</v>
      </c>
      <c r="D83" s="75" t="s">
        <v>6</v>
      </c>
      <c r="E83" s="75" t="s">
        <v>220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2:G226"/>
  <sheetViews>
    <sheetView workbookViewId="0">
      <pane ySplit="2" topLeftCell="A201" activePane="bottomLeft" state="frozen"/>
      <selection activeCell="C40" sqref="C40"/>
      <selection pane="bottomLeft" activeCell="A213" sqref="A213"/>
    </sheetView>
  </sheetViews>
  <sheetFormatPr defaultColWidth="9.1796875" defaultRowHeight="12.5" x14ac:dyDescent="0.25"/>
  <cols>
    <col min="1" max="1" width="23.81640625" style="63" bestFit="1" customWidth="1"/>
    <col min="2" max="2" width="26" style="63" customWidth="1"/>
    <col min="3" max="3" width="41.81640625" style="63" customWidth="1"/>
    <col min="4" max="5" width="40.54296875" style="63" bestFit="1" customWidth="1"/>
    <col min="6" max="6" width="21.81640625" style="64" customWidth="1"/>
    <col min="7" max="7" width="18" style="64" customWidth="1"/>
    <col min="8" max="16384" width="9.1796875" style="63"/>
  </cols>
  <sheetData>
    <row r="2" spans="1:7" s="62" customFormat="1" ht="39" x14ac:dyDescent="0.25">
      <c r="A2" s="62" t="s">
        <v>95</v>
      </c>
      <c r="B2" s="62" t="s">
        <v>19</v>
      </c>
      <c r="C2" s="62" t="s">
        <v>96</v>
      </c>
      <c r="D2" s="62" t="s">
        <v>97</v>
      </c>
      <c r="E2" s="62" t="s">
        <v>98</v>
      </c>
      <c r="F2" s="62" t="s">
        <v>99</v>
      </c>
      <c r="G2" s="62" t="s">
        <v>100</v>
      </c>
    </row>
    <row r="3" spans="1:7" x14ac:dyDescent="0.25">
      <c r="A3" s="63" t="s">
        <v>89</v>
      </c>
      <c r="B3" s="63" t="s">
        <v>4</v>
      </c>
      <c r="C3" s="63" t="s">
        <v>101</v>
      </c>
      <c r="D3" s="63" t="s">
        <v>101</v>
      </c>
      <c r="E3" s="63" t="s">
        <v>101</v>
      </c>
      <c r="F3" s="64" t="str">
        <f>+IF(C3=D3,"MATCH","MISMATCH")</f>
        <v>MATCH</v>
      </c>
      <c r="G3" s="64" t="str">
        <f>+IF(D3=E3,"MATCH","MISMATCH")</f>
        <v>MATCH</v>
      </c>
    </row>
    <row r="4" spans="1:7" x14ac:dyDescent="0.25">
      <c r="A4" s="63" t="s">
        <v>89</v>
      </c>
      <c r="B4" s="63" t="s">
        <v>5</v>
      </c>
      <c r="C4" s="63" t="s">
        <v>102</v>
      </c>
      <c r="D4" s="63" t="s">
        <v>102</v>
      </c>
      <c r="E4" s="63" t="s">
        <v>102</v>
      </c>
      <c r="F4" s="64" t="str">
        <f t="shared" ref="F4:G19" si="0">+IF(C4=D4,"MATCH","MISMATCH")</f>
        <v>MATCH</v>
      </c>
      <c r="G4" s="64" t="str">
        <f t="shared" si="0"/>
        <v>MATCH</v>
      </c>
    </row>
    <row r="5" spans="1:7" x14ac:dyDescent="0.25">
      <c r="A5" s="63" t="s">
        <v>89</v>
      </c>
      <c r="B5" s="6" t="s">
        <v>171</v>
      </c>
      <c r="C5" s="63" t="s">
        <v>101</v>
      </c>
      <c r="D5" s="63" t="s">
        <v>101</v>
      </c>
      <c r="E5" s="63" t="s">
        <v>101</v>
      </c>
      <c r="F5" s="64" t="str">
        <f>+IF(C5=D5,"MATCH","MISMATCH")</f>
        <v>MATCH</v>
      </c>
      <c r="G5" s="64" t="str">
        <f>+IF(D5=E5,"MATCH","MISMATCH")</f>
        <v>MATCH</v>
      </c>
    </row>
    <row r="6" spans="1:7" x14ac:dyDescent="0.25">
      <c r="A6" s="63" t="s">
        <v>89</v>
      </c>
      <c r="B6" s="73" t="s">
        <v>172</v>
      </c>
      <c r="C6" s="63" t="s">
        <v>102</v>
      </c>
      <c r="D6" s="63" t="s">
        <v>102</v>
      </c>
      <c r="E6" s="63" t="s">
        <v>102</v>
      </c>
      <c r="F6" s="64" t="str">
        <f>+IF(C6=D6,"MATCH","MISMATCH")</f>
        <v>MATCH</v>
      </c>
      <c r="G6" s="64" t="str">
        <f>+IF(D6=E6,"MATCH","MISMATCH")</f>
        <v>MATCH</v>
      </c>
    </row>
    <row r="7" spans="1:7" x14ac:dyDescent="0.25">
      <c r="A7" s="63" t="s">
        <v>89</v>
      </c>
      <c r="B7" s="63" t="s">
        <v>17</v>
      </c>
      <c r="C7" s="63" t="s">
        <v>103</v>
      </c>
      <c r="D7" s="63" t="s">
        <v>103</v>
      </c>
      <c r="E7" s="63" t="s">
        <v>103</v>
      </c>
      <c r="F7" s="64" t="str">
        <f t="shared" si="0"/>
        <v>MATCH</v>
      </c>
      <c r="G7" s="64" t="str">
        <f t="shared" si="0"/>
        <v>MATCH</v>
      </c>
    </row>
    <row r="8" spans="1:7" x14ac:dyDescent="0.25">
      <c r="A8" s="63" t="s">
        <v>89</v>
      </c>
      <c r="B8" s="63" t="s">
        <v>24</v>
      </c>
      <c r="C8" s="63" t="s">
        <v>104</v>
      </c>
      <c r="D8" s="63" t="s">
        <v>104</v>
      </c>
      <c r="E8" s="63" t="s">
        <v>104</v>
      </c>
      <c r="F8" s="64" t="str">
        <f t="shared" si="0"/>
        <v>MATCH</v>
      </c>
      <c r="G8" s="64" t="str">
        <f t="shared" si="0"/>
        <v>MATCH</v>
      </c>
    </row>
    <row r="9" spans="1:7" x14ac:dyDescent="0.25">
      <c r="A9" s="63" t="s">
        <v>89</v>
      </c>
      <c r="B9" s="63" t="s">
        <v>25</v>
      </c>
      <c r="C9" s="63" t="s">
        <v>105</v>
      </c>
      <c r="D9" s="63" t="s">
        <v>105</v>
      </c>
      <c r="E9" s="63" t="s">
        <v>105</v>
      </c>
      <c r="F9" s="64" t="str">
        <f t="shared" si="0"/>
        <v>MATCH</v>
      </c>
      <c r="G9" s="64" t="str">
        <f t="shared" si="0"/>
        <v>MATCH</v>
      </c>
    </row>
    <row r="10" spans="1:7" x14ac:dyDescent="0.25">
      <c r="A10" s="63" t="s">
        <v>89</v>
      </c>
      <c r="B10" s="6" t="s">
        <v>138</v>
      </c>
      <c r="C10" s="63" t="s">
        <v>139</v>
      </c>
      <c r="D10" s="63" t="s">
        <v>139</v>
      </c>
      <c r="E10" s="63" t="s">
        <v>139</v>
      </c>
      <c r="F10" s="64" t="str">
        <f t="shared" si="0"/>
        <v>MATCH</v>
      </c>
      <c r="G10" s="64" t="str">
        <f t="shared" si="0"/>
        <v>MATCH</v>
      </c>
    </row>
    <row r="11" spans="1:7" x14ac:dyDescent="0.25">
      <c r="A11" s="63" t="s">
        <v>89</v>
      </c>
      <c r="B11" s="6" t="s">
        <v>178</v>
      </c>
      <c r="C11" s="63" t="s">
        <v>104</v>
      </c>
      <c r="D11" s="63" t="s">
        <v>104</v>
      </c>
      <c r="E11" s="63" t="s">
        <v>104</v>
      </c>
      <c r="F11" s="64" t="str">
        <f t="shared" si="0"/>
        <v>MATCH</v>
      </c>
      <c r="G11" s="64" t="str">
        <f t="shared" si="0"/>
        <v>MATCH</v>
      </c>
    </row>
    <row r="12" spans="1:7" x14ac:dyDescent="0.25">
      <c r="A12" s="63" t="s">
        <v>89</v>
      </c>
      <c r="B12" s="6" t="s">
        <v>179</v>
      </c>
      <c r="C12" s="63" t="s">
        <v>104</v>
      </c>
      <c r="D12" s="63" t="s">
        <v>104</v>
      </c>
      <c r="E12" s="63" t="s">
        <v>104</v>
      </c>
      <c r="F12" s="64" t="str">
        <f t="shared" si="0"/>
        <v>MATCH</v>
      </c>
      <c r="G12" s="64" t="str">
        <f t="shared" si="0"/>
        <v>MATCH</v>
      </c>
    </row>
    <row r="13" spans="1:7" x14ac:dyDescent="0.25">
      <c r="A13" s="63" t="s">
        <v>89</v>
      </c>
      <c r="B13" s="6" t="s">
        <v>180</v>
      </c>
      <c r="C13" s="63" t="s">
        <v>104</v>
      </c>
      <c r="D13" s="63" t="s">
        <v>104</v>
      </c>
      <c r="E13" s="63" t="s">
        <v>104</v>
      </c>
      <c r="F13" s="64" t="str">
        <f t="shared" si="0"/>
        <v>MATCH</v>
      </c>
      <c r="G13" s="64" t="str">
        <f t="shared" si="0"/>
        <v>MATCH</v>
      </c>
    </row>
    <row r="14" spans="1:7" x14ac:dyDescent="0.25">
      <c r="A14" s="63" t="s">
        <v>89</v>
      </c>
      <c r="B14" s="6" t="s">
        <v>181</v>
      </c>
      <c r="C14" s="63" t="s">
        <v>104</v>
      </c>
      <c r="D14" s="63" t="s">
        <v>104</v>
      </c>
      <c r="E14" s="63" t="s">
        <v>104</v>
      </c>
      <c r="F14" s="64" t="str">
        <f t="shared" si="0"/>
        <v>MATCH</v>
      </c>
      <c r="G14" s="64" t="str">
        <f t="shared" si="0"/>
        <v>MATCH</v>
      </c>
    </row>
    <row r="15" spans="1:7" x14ac:dyDescent="0.25">
      <c r="A15" s="63" t="s">
        <v>89</v>
      </c>
      <c r="B15" s="63" t="s">
        <v>39</v>
      </c>
      <c r="C15" s="63" t="s">
        <v>104</v>
      </c>
      <c r="D15" s="63" t="s">
        <v>104</v>
      </c>
      <c r="E15" s="63" t="s">
        <v>104</v>
      </c>
      <c r="F15" s="64" t="str">
        <f t="shared" si="0"/>
        <v>MATCH</v>
      </c>
      <c r="G15" s="64" t="str">
        <f t="shared" si="0"/>
        <v>MATCH</v>
      </c>
    </row>
    <row r="16" spans="1:7" x14ac:dyDescent="0.25">
      <c r="A16" s="63" t="s">
        <v>89</v>
      </c>
      <c r="B16" s="63" t="s">
        <v>40</v>
      </c>
      <c r="C16" s="63" t="s">
        <v>105</v>
      </c>
      <c r="D16" s="63" t="s">
        <v>105</v>
      </c>
      <c r="E16" s="63" t="s">
        <v>105</v>
      </c>
      <c r="F16" s="64" t="str">
        <f t="shared" si="0"/>
        <v>MATCH</v>
      </c>
      <c r="G16" s="64" t="str">
        <f t="shared" si="0"/>
        <v>MATCH</v>
      </c>
    </row>
    <row r="17" spans="1:7" x14ac:dyDescent="0.25">
      <c r="A17" s="63" t="s">
        <v>92</v>
      </c>
      <c r="B17" s="63" t="s">
        <v>4</v>
      </c>
      <c r="C17" s="63" t="s">
        <v>106</v>
      </c>
      <c r="D17" s="63" t="s">
        <v>106</v>
      </c>
      <c r="E17" s="63" t="s">
        <v>106</v>
      </c>
      <c r="F17" s="64" t="str">
        <f t="shared" si="0"/>
        <v>MATCH</v>
      </c>
      <c r="G17" s="64" t="str">
        <f t="shared" si="0"/>
        <v>MATCH</v>
      </c>
    </row>
    <row r="18" spans="1:7" x14ac:dyDescent="0.25">
      <c r="A18" s="63" t="s">
        <v>92</v>
      </c>
      <c r="B18" s="63" t="s">
        <v>5</v>
      </c>
      <c r="C18" s="63" t="s">
        <v>107</v>
      </c>
      <c r="D18" s="63" t="s">
        <v>107</v>
      </c>
      <c r="E18" s="63" t="s">
        <v>107</v>
      </c>
      <c r="F18" s="64" t="str">
        <f t="shared" si="0"/>
        <v>MATCH</v>
      </c>
      <c r="G18" s="64" t="str">
        <f t="shared" si="0"/>
        <v>MATCH</v>
      </c>
    </row>
    <row r="19" spans="1:7" x14ac:dyDescent="0.25">
      <c r="A19" s="63" t="s">
        <v>92</v>
      </c>
      <c r="B19" s="6" t="s">
        <v>171</v>
      </c>
      <c r="C19" s="63" t="s">
        <v>106</v>
      </c>
      <c r="D19" s="63" t="s">
        <v>106</v>
      </c>
      <c r="E19" s="63" t="s">
        <v>106</v>
      </c>
      <c r="F19" s="64" t="str">
        <f t="shared" si="0"/>
        <v>MATCH</v>
      </c>
      <c r="G19" s="64" t="str">
        <f t="shared" si="0"/>
        <v>MATCH</v>
      </c>
    </row>
    <row r="20" spans="1:7" x14ac:dyDescent="0.25">
      <c r="A20" s="63" t="s">
        <v>92</v>
      </c>
      <c r="B20" s="73" t="s">
        <v>172</v>
      </c>
      <c r="C20" s="63" t="s">
        <v>107</v>
      </c>
      <c r="D20" s="63" t="s">
        <v>107</v>
      </c>
      <c r="E20" s="63" t="s">
        <v>107</v>
      </c>
      <c r="F20" s="64" t="str">
        <f t="shared" ref="F20:G83" si="1">+IF(C20=D20,"MATCH","MISMATCH")</f>
        <v>MATCH</v>
      </c>
      <c r="G20" s="64" t="str">
        <f t="shared" si="1"/>
        <v>MATCH</v>
      </c>
    </row>
    <row r="21" spans="1:7" x14ac:dyDescent="0.25">
      <c r="A21" s="63" t="s">
        <v>92</v>
      </c>
      <c r="B21" s="63" t="s">
        <v>17</v>
      </c>
      <c r="C21" s="63" t="s">
        <v>108</v>
      </c>
      <c r="D21" s="63" t="s">
        <v>108</v>
      </c>
      <c r="E21" s="63" t="s">
        <v>108</v>
      </c>
      <c r="F21" s="64" t="str">
        <f t="shared" si="1"/>
        <v>MATCH</v>
      </c>
      <c r="G21" s="64" t="str">
        <f t="shared" si="1"/>
        <v>MATCH</v>
      </c>
    </row>
    <row r="22" spans="1:7" x14ac:dyDescent="0.25">
      <c r="A22" s="63" t="s">
        <v>92</v>
      </c>
      <c r="B22" s="63" t="s">
        <v>24</v>
      </c>
      <c r="C22" s="63" t="s">
        <v>109</v>
      </c>
      <c r="D22" s="63" t="s">
        <v>109</v>
      </c>
      <c r="E22" s="63" t="s">
        <v>109</v>
      </c>
      <c r="F22" s="64" t="str">
        <f t="shared" si="1"/>
        <v>MATCH</v>
      </c>
      <c r="G22" s="64" t="str">
        <f t="shared" si="1"/>
        <v>MATCH</v>
      </c>
    </row>
    <row r="23" spans="1:7" x14ac:dyDescent="0.25">
      <c r="A23" s="63" t="s">
        <v>92</v>
      </c>
      <c r="B23" s="63" t="s">
        <v>25</v>
      </c>
      <c r="C23" s="63" t="s">
        <v>110</v>
      </c>
      <c r="D23" s="63" t="s">
        <v>110</v>
      </c>
      <c r="E23" s="63" t="s">
        <v>110</v>
      </c>
      <c r="F23" s="64" t="str">
        <f t="shared" si="1"/>
        <v>MATCH</v>
      </c>
      <c r="G23" s="64" t="str">
        <f t="shared" si="1"/>
        <v>MATCH</v>
      </c>
    </row>
    <row r="24" spans="1:7" x14ac:dyDescent="0.25">
      <c r="A24" s="63" t="s">
        <v>92</v>
      </c>
      <c r="B24" s="6" t="s">
        <v>138</v>
      </c>
      <c r="C24" s="63" t="s">
        <v>139</v>
      </c>
      <c r="D24" s="63" t="s">
        <v>139</v>
      </c>
      <c r="E24" s="63" t="s">
        <v>139</v>
      </c>
      <c r="F24" s="64" t="str">
        <f t="shared" si="1"/>
        <v>MATCH</v>
      </c>
      <c r="G24" s="64" t="str">
        <f t="shared" si="1"/>
        <v>MATCH</v>
      </c>
    </row>
    <row r="25" spans="1:7" x14ac:dyDescent="0.25">
      <c r="A25" s="63" t="s">
        <v>92</v>
      </c>
      <c r="B25" s="6" t="s">
        <v>178</v>
      </c>
      <c r="C25" s="63" t="s">
        <v>109</v>
      </c>
      <c r="D25" s="63" t="s">
        <v>109</v>
      </c>
      <c r="E25" s="63" t="s">
        <v>109</v>
      </c>
      <c r="F25" s="64" t="str">
        <f t="shared" si="1"/>
        <v>MATCH</v>
      </c>
      <c r="G25" s="64" t="str">
        <f t="shared" si="1"/>
        <v>MATCH</v>
      </c>
    </row>
    <row r="26" spans="1:7" x14ac:dyDescent="0.25">
      <c r="A26" s="63" t="s">
        <v>92</v>
      </c>
      <c r="B26" s="6" t="s">
        <v>179</v>
      </c>
      <c r="C26" s="63" t="s">
        <v>109</v>
      </c>
      <c r="D26" s="63" t="s">
        <v>109</v>
      </c>
      <c r="E26" s="63" t="s">
        <v>109</v>
      </c>
      <c r="F26" s="64" t="str">
        <f t="shared" si="1"/>
        <v>MATCH</v>
      </c>
      <c r="G26" s="64" t="str">
        <f t="shared" si="1"/>
        <v>MATCH</v>
      </c>
    </row>
    <row r="27" spans="1:7" x14ac:dyDescent="0.25">
      <c r="A27" s="63" t="s">
        <v>92</v>
      </c>
      <c r="B27" s="6" t="s">
        <v>180</v>
      </c>
      <c r="C27" s="63" t="s">
        <v>109</v>
      </c>
      <c r="D27" s="63" t="s">
        <v>109</v>
      </c>
      <c r="E27" s="63" t="s">
        <v>109</v>
      </c>
      <c r="F27" s="64" t="str">
        <f t="shared" si="1"/>
        <v>MATCH</v>
      </c>
      <c r="G27" s="64" t="str">
        <f t="shared" si="1"/>
        <v>MATCH</v>
      </c>
    </row>
    <row r="28" spans="1:7" x14ac:dyDescent="0.25">
      <c r="A28" s="63" t="s">
        <v>92</v>
      </c>
      <c r="B28" s="6" t="s">
        <v>181</v>
      </c>
      <c r="C28" s="63" t="s">
        <v>109</v>
      </c>
      <c r="D28" s="63" t="s">
        <v>109</v>
      </c>
      <c r="E28" s="63" t="s">
        <v>109</v>
      </c>
      <c r="F28" s="64" t="str">
        <f t="shared" si="1"/>
        <v>MATCH</v>
      </c>
      <c r="G28" s="64" t="str">
        <f t="shared" si="1"/>
        <v>MATCH</v>
      </c>
    </row>
    <row r="29" spans="1:7" x14ac:dyDescent="0.25">
      <c r="A29" s="63" t="s">
        <v>92</v>
      </c>
      <c r="B29" s="63" t="s">
        <v>39</v>
      </c>
      <c r="C29" s="63" t="s">
        <v>109</v>
      </c>
      <c r="D29" s="63" t="s">
        <v>109</v>
      </c>
      <c r="E29" s="63" t="s">
        <v>109</v>
      </c>
      <c r="F29" s="64" t="str">
        <f t="shared" si="1"/>
        <v>MATCH</v>
      </c>
      <c r="G29" s="64" t="str">
        <f t="shared" si="1"/>
        <v>MATCH</v>
      </c>
    </row>
    <row r="30" spans="1:7" x14ac:dyDescent="0.25">
      <c r="A30" s="63" t="s">
        <v>92</v>
      </c>
      <c r="B30" s="63" t="s">
        <v>40</v>
      </c>
      <c r="C30" s="63" t="s">
        <v>110</v>
      </c>
      <c r="D30" s="63" t="s">
        <v>110</v>
      </c>
      <c r="E30" s="63" t="s">
        <v>110</v>
      </c>
      <c r="F30" s="64" t="str">
        <f t="shared" si="1"/>
        <v>MATCH</v>
      </c>
      <c r="G30" s="64" t="str">
        <f t="shared" si="1"/>
        <v>MATCH</v>
      </c>
    </row>
    <row r="31" spans="1:7" x14ac:dyDescent="0.25">
      <c r="A31" s="63" t="s">
        <v>90</v>
      </c>
      <c r="B31" s="63" t="s">
        <v>4</v>
      </c>
      <c r="C31" s="63" t="s">
        <v>106</v>
      </c>
      <c r="D31" s="63" t="s">
        <v>106</v>
      </c>
      <c r="E31" s="63" t="s">
        <v>106</v>
      </c>
      <c r="F31" s="64" t="str">
        <f t="shared" si="1"/>
        <v>MATCH</v>
      </c>
      <c r="G31" s="64" t="str">
        <f t="shared" si="1"/>
        <v>MATCH</v>
      </c>
    </row>
    <row r="32" spans="1:7" x14ac:dyDescent="0.25">
      <c r="A32" s="63" t="s">
        <v>90</v>
      </c>
      <c r="B32" s="63" t="s">
        <v>5</v>
      </c>
      <c r="C32" s="63" t="s">
        <v>107</v>
      </c>
      <c r="D32" s="63" t="s">
        <v>107</v>
      </c>
      <c r="E32" s="63" t="s">
        <v>107</v>
      </c>
      <c r="F32" s="64" t="str">
        <f t="shared" si="1"/>
        <v>MATCH</v>
      </c>
      <c r="G32" s="64" t="str">
        <f t="shared" si="1"/>
        <v>MATCH</v>
      </c>
    </row>
    <row r="33" spans="1:7" x14ac:dyDescent="0.25">
      <c r="A33" s="63" t="s">
        <v>90</v>
      </c>
      <c r="B33" s="6" t="s">
        <v>171</v>
      </c>
      <c r="C33" s="63" t="s">
        <v>106</v>
      </c>
      <c r="D33" s="63" t="s">
        <v>106</v>
      </c>
      <c r="E33" s="63" t="s">
        <v>106</v>
      </c>
      <c r="F33" s="64" t="str">
        <f t="shared" si="1"/>
        <v>MATCH</v>
      </c>
      <c r="G33" s="64" t="str">
        <f t="shared" si="1"/>
        <v>MATCH</v>
      </c>
    </row>
    <row r="34" spans="1:7" x14ac:dyDescent="0.25">
      <c r="A34" s="63" t="s">
        <v>90</v>
      </c>
      <c r="B34" s="73" t="s">
        <v>172</v>
      </c>
      <c r="C34" s="63" t="s">
        <v>107</v>
      </c>
      <c r="D34" s="63" t="s">
        <v>107</v>
      </c>
      <c r="E34" s="63" t="s">
        <v>107</v>
      </c>
      <c r="F34" s="64" t="str">
        <f t="shared" si="1"/>
        <v>MATCH</v>
      </c>
      <c r="G34" s="64" t="str">
        <f t="shared" si="1"/>
        <v>MATCH</v>
      </c>
    </row>
    <row r="35" spans="1:7" x14ac:dyDescent="0.25">
      <c r="A35" s="63" t="s">
        <v>90</v>
      </c>
      <c r="B35" s="63" t="s">
        <v>17</v>
      </c>
      <c r="C35" s="63" t="s">
        <v>108</v>
      </c>
      <c r="D35" s="63" t="s">
        <v>108</v>
      </c>
      <c r="E35" s="63" t="s">
        <v>108</v>
      </c>
      <c r="F35" s="64" t="str">
        <f t="shared" si="1"/>
        <v>MATCH</v>
      </c>
      <c r="G35" s="64" t="str">
        <f t="shared" si="1"/>
        <v>MATCH</v>
      </c>
    </row>
    <row r="36" spans="1:7" x14ac:dyDescent="0.25">
      <c r="A36" s="63" t="s">
        <v>90</v>
      </c>
      <c r="B36" s="63" t="s">
        <v>24</v>
      </c>
      <c r="C36" s="63" t="s">
        <v>109</v>
      </c>
      <c r="D36" s="63" t="s">
        <v>109</v>
      </c>
      <c r="E36" s="63" t="s">
        <v>109</v>
      </c>
      <c r="F36" s="64" t="str">
        <f t="shared" si="1"/>
        <v>MATCH</v>
      </c>
      <c r="G36" s="64" t="str">
        <f t="shared" si="1"/>
        <v>MATCH</v>
      </c>
    </row>
    <row r="37" spans="1:7" x14ac:dyDescent="0.25">
      <c r="A37" s="63" t="s">
        <v>90</v>
      </c>
      <c r="B37" s="63" t="s">
        <v>25</v>
      </c>
      <c r="C37" s="63" t="s">
        <v>110</v>
      </c>
      <c r="D37" s="63" t="s">
        <v>110</v>
      </c>
      <c r="E37" s="63" t="s">
        <v>110</v>
      </c>
      <c r="F37" s="64" t="str">
        <f t="shared" si="1"/>
        <v>MATCH</v>
      </c>
      <c r="G37" s="64" t="str">
        <f t="shared" si="1"/>
        <v>MATCH</v>
      </c>
    </row>
    <row r="38" spans="1:7" x14ac:dyDescent="0.25">
      <c r="A38" s="63" t="s">
        <v>90</v>
      </c>
      <c r="B38" s="6" t="s">
        <v>138</v>
      </c>
      <c r="C38" s="63" t="s">
        <v>139</v>
      </c>
      <c r="D38" s="63" t="s">
        <v>139</v>
      </c>
      <c r="E38" s="63" t="s">
        <v>139</v>
      </c>
      <c r="F38" s="64" t="str">
        <f t="shared" si="1"/>
        <v>MATCH</v>
      </c>
      <c r="G38" s="64" t="str">
        <f t="shared" si="1"/>
        <v>MATCH</v>
      </c>
    </row>
    <row r="39" spans="1:7" x14ac:dyDescent="0.25">
      <c r="A39" s="63" t="s">
        <v>90</v>
      </c>
      <c r="B39" s="6" t="s">
        <v>178</v>
      </c>
      <c r="C39" s="63" t="s">
        <v>109</v>
      </c>
      <c r="D39" s="63" t="s">
        <v>109</v>
      </c>
      <c r="E39" s="63" t="s">
        <v>109</v>
      </c>
      <c r="F39" s="64" t="str">
        <f t="shared" si="1"/>
        <v>MATCH</v>
      </c>
      <c r="G39" s="64" t="str">
        <f t="shared" si="1"/>
        <v>MATCH</v>
      </c>
    </row>
    <row r="40" spans="1:7" x14ac:dyDescent="0.25">
      <c r="A40" s="63" t="s">
        <v>90</v>
      </c>
      <c r="B40" s="6" t="s">
        <v>179</v>
      </c>
      <c r="C40" s="63" t="s">
        <v>109</v>
      </c>
      <c r="D40" s="63" t="s">
        <v>109</v>
      </c>
      <c r="E40" s="63" t="s">
        <v>109</v>
      </c>
      <c r="F40" s="64" t="str">
        <f t="shared" si="1"/>
        <v>MATCH</v>
      </c>
      <c r="G40" s="64" t="str">
        <f t="shared" si="1"/>
        <v>MATCH</v>
      </c>
    </row>
    <row r="41" spans="1:7" x14ac:dyDescent="0.25">
      <c r="A41" s="63" t="s">
        <v>90</v>
      </c>
      <c r="B41" s="6" t="s">
        <v>180</v>
      </c>
      <c r="C41" s="63" t="s">
        <v>109</v>
      </c>
      <c r="D41" s="63" t="s">
        <v>109</v>
      </c>
      <c r="E41" s="63" t="s">
        <v>109</v>
      </c>
      <c r="F41" s="64" t="str">
        <f t="shared" si="1"/>
        <v>MATCH</v>
      </c>
      <c r="G41" s="64" t="str">
        <f t="shared" si="1"/>
        <v>MATCH</v>
      </c>
    </row>
    <row r="42" spans="1:7" x14ac:dyDescent="0.25">
      <c r="A42" s="63" t="s">
        <v>90</v>
      </c>
      <c r="B42" s="6" t="s">
        <v>181</v>
      </c>
      <c r="C42" s="63" t="s">
        <v>109</v>
      </c>
      <c r="D42" s="63" t="s">
        <v>109</v>
      </c>
      <c r="E42" s="63" t="s">
        <v>109</v>
      </c>
      <c r="F42" s="64" t="str">
        <f t="shared" si="1"/>
        <v>MATCH</v>
      </c>
      <c r="G42" s="64" t="str">
        <f t="shared" si="1"/>
        <v>MATCH</v>
      </c>
    </row>
    <row r="43" spans="1:7" x14ac:dyDescent="0.25">
      <c r="A43" s="63" t="s">
        <v>90</v>
      </c>
      <c r="B43" s="63" t="s">
        <v>39</v>
      </c>
      <c r="C43" s="63" t="s">
        <v>109</v>
      </c>
      <c r="D43" s="63" t="s">
        <v>109</v>
      </c>
      <c r="E43" s="63" t="s">
        <v>109</v>
      </c>
      <c r="F43" s="64" t="str">
        <f t="shared" si="1"/>
        <v>MATCH</v>
      </c>
      <c r="G43" s="64" t="str">
        <f t="shared" si="1"/>
        <v>MATCH</v>
      </c>
    </row>
    <row r="44" spans="1:7" x14ac:dyDescent="0.25">
      <c r="A44" s="63" t="s">
        <v>90</v>
      </c>
      <c r="B44" s="63" t="s">
        <v>40</v>
      </c>
      <c r="C44" s="63" t="s">
        <v>110</v>
      </c>
      <c r="D44" s="63" t="s">
        <v>110</v>
      </c>
      <c r="E44" s="63" t="s">
        <v>110</v>
      </c>
      <c r="F44" s="64" t="str">
        <f t="shared" si="1"/>
        <v>MATCH</v>
      </c>
      <c r="G44" s="64" t="str">
        <f t="shared" si="1"/>
        <v>MATCH</v>
      </c>
    </row>
    <row r="45" spans="1:7" x14ac:dyDescent="0.25">
      <c r="A45" s="63" t="s">
        <v>88</v>
      </c>
      <c r="B45" s="63" t="s">
        <v>4</v>
      </c>
      <c r="C45" s="63" t="s">
        <v>111</v>
      </c>
      <c r="D45" s="63" t="s">
        <v>111</v>
      </c>
      <c r="E45" s="63" t="s">
        <v>111</v>
      </c>
      <c r="F45" s="64" t="str">
        <f t="shared" si="1"/>
        <v>MATCH</v>
      </c>
      <c r="G45" s="64" t="str">
        <f t="shared" si="1"/>
        <v>MATCH</v>
      </c>
    </row>
    <row r="46" spans="1:7" x14ac:dyDescent="0.25">
      <c r="A46" s="63" t="s">
        <v>88</v>
      </c>
      <c r="B46" s="63" t="s">
        <v>5</v>
      </c>
      <c r="C46" s="63" t="s">
        <v>112</v>
      </c>
      <c r="D46" s="63" t="s">
        <v>112</v>
      </c>
      <c r="E46" s="63" t="s">
        <v>112</v>
      </c>
      <c r="F46" s="64" t="str">
        <f t="shared" si="1"/>
        <v>MATCH</v>
      </c>
      <c r="G46" s="64" t="str">
        <f t="shared" si="1"/>
        <v>MATCH</v>
      </c>
    </row>
    <row r="47" spans="1:7" x14ac:dyDescent="0.25">
      <c r="A47" s="63" t="s">
        <v>88</v>
      </c>
      <c r="B47" s="6" t="s">
        <v>171</v>
      </c>
      <c r="C47" s="63" t="s">
        <v>111</v>
      </c>
      <c r="D47" s="63" t="s">
        <v>111</v>
      </c>
      <c r="E47" s="63" t="s">
        <v>111</v>
      </c>
      <c r="F47" s="64" t="str">
        <f t="shared" si="1"/>
        <v>MATCH</v>
      </c>
      <c r="G47" s="64" t="str">
        <f t="shared" si="1"/>
        <v>MATCH</v>
      </c>
    </row>
    <row r="48" spans="1:7" x14ac:dyDescent="0.25">
      <c r="A48" s="63" t="s">
        <v>88</v>
      </c>
      <c r="B48" s="73" t="s">
        <v>172</v>
      </c>
      <c r="C48" s="63" t="s">
        <v>112</v>
      </c>
      <c r="D48" s="63" t="s">
        <v>112</v>
      </c>
      <c r="E48" s="63" t="s">
        <v>112</v>
      </c>
      <c r="F48" s="64" t="str">
        <f t="shared" si="1"/>
        <v>MATCH</v>
      </c>
      <c r="G48" s="64" t="str">
        <f t="shared" si="1"/>
        <v>MATCH</v>
      </c>
    </row>
    <row r="49" spans="1:7" x14ac:dyDescent="0.25">
      <c r="A49" s="63" t="s">
        <v>88</v>
      </c>
      <c r="B49" s="63" t="s">
        <v>17</v>
      </c>
      <c r="C49" s="63" t="s">
        <v>113</v>
      </c>
      <c r="D49" s="63" t="s">
        <v>113</v>
      </c>
      <c r="E49" s="63" t="s">
        <v>113</v>
      </c>
      <c r="F49" s="64" t="str">
        <f t="shared" si="1"/>
        <v>MATCH</v>
      </c>
      <c r="G49" s="64" t="str">
        <f t="shared" si="1"/>
        <v>MATCH</v>
      </c>
    </row>
    <row r="50" spans="1:7" x14ac:dyDescent="0.25">
      <c r="A50" s="63" t="s">
        <v>88</v>
      </c>
      <c r="B50" s="63" t="s">
        <v>24</v>
      </c>
      <c r="C50" s="63" t="s">
        <v>114</v>
      </c>
      <c r="D50" s="63" t="s">
        <v>114</v>
      </c>
      <c r="E50" s="63" t="s">
        <v>114</v>
      </c>
      <c r="F50" s="64" t="str">
        <f t="shared" si="1"/>
        <v>MATCH</v>
      </c>
      <c r="G50" s="64" t="str">
        <f t="shared" si="1"/>
        <v>MATCH</v>
      </c>
    </row>
    <row r="51" spans="1:7" x14ac:dyDescent="0.25">
      <c r="A51" s="63" t="s">
        <v>88</v>
      </c>
      <c r="B51" s="63" t="s">
        <v>25</v>
      </c>
      <c r="C51" s="63" t="s">
        <v>115</v>
      </c>
      <c r="D51" s="63" t="s">
        <v>115</v>
      </c>
      <c r="E51" s="63" t="s">
        <v>115</v>
      </c>
      <c r="F51" s="64" t="str">
        <f t="shared" si="1"/>
        <v>MATCH</v>
      </c>
      <c r="G51" s="64" t="str">
        <f t="shared" si="1"/>
        <v>MATCH</v>
      </c>
    </row>
    <row r="52" spans="1:7" x14ac:dyDescent="0.25">
      <c r="A52" s="63" t="s">
        <v>88</v>
      </c>
      <c r="B52" s="6" t="s">
        <v>138</v>
      </c>
      <c r="C52" s="63" t="s">
        <v>139</v>
      </c>
      <c r="D52" s="63" t="s">
        <v>139</v>
      </c>
      <c r="E52" s="63" t="s">
        <v>139</v>
      </c>
      <c r="F52" s="64" t="str">
        <f t="shared" si="1"/>
        <v>MATCH</v>
      </c>
      <c r="G52" s="64" t="str">
        <f t="shared" si="1"/>
        <v>MATCH</v>
      </c>
    </row>
    <row r="53" spans="1:7" x14ac:dyDescent="0.25">
      <c r="A53" s="63" t="s">
        <v>88</v>
      </c>
      <c r="B53" s="6" t="s">
        <v>178</v>
      </c>
      <c r="C53" s="63" t="s">
        <v>114</v>
      </c>
      <c r="D53" s="63" t="s">
        <v>114</v>
      </c>
      <c r="E53" s="63" t="s">
        <v>114</v>
      </c>
      <c r="F53" s="64" t="str">
        <f t="shared" si="1"/>
        <v>MATCH</v>
      </c>
      <c r="G53" s="64" t="str">
        <f t="shared" si="1"/>
        <v>MATCH</v>
      </c>
    </row>
    <row r="54" spans="1:7" x14ac:dyDescent="0.25">
      <c r="A54" s="63" t="s">
        <v>88</v>
      </c>
      <c r="B54" s="6" t="s">
        <v>179</v>
      </c>
      <c r="C54" s="63" t="s">
        <v>114</v>
      </c>
      <c r="D54" s="63" t="s">
        <v>114</v>
      </c>
      <c r="E54" s="63" t="s">
        <v>114</v>
      </c>
      <c r="F54" s="64" t="str">
        <f t="shared" si="1"/>
        <v>MATCH</v>
      </c>
      <c r="G54" s="64" t="str">
        <f t="shared" si="1"/>
        <v>MATCH</v>
      </c>
    </row>
    <row r="55" spans="1:7" x14ac:dyDescent="0.25">
      <c r="A55" s="63" t="s">
        <v>88</v>
      </c>
      <c r="B55" s="6" t="s">
        <v>180</v>
      </c>
      <c r="C55" s="63" t="s">
        <v>114</v>
      </c>
      <c r="D55" s="63" t="s">
        <v>114</v>
      </c>
      <c r="E55" s="63" t="s">
        <v>114</v>
      </c>
      <c r="F55" s="64" t="str">
        <f t="shared" si="1"/>
        <v>MATCH</v>
      </c>
      <c r="G55" s="64" t="str">
        <f t="shared" si="1"/>
        <v>MATCH</v>
      </c>
    </row>
    <row r="56" spans="1:7" x14ac:dyDescent="0.25">
      <c r="A56" s="63" t="s">
        <v>88</v>
      </c>
      <c r="B56" s="6" t="s">
        <v>181</v>
      </c>
      <c r="C56" s="63" t="s">
        <v>114</v>
      </c>
      <c r="D56" s="63" t="s">
        <v>114</v>
      </c>
      <c r="E56" s="63" t="s">
        <v>114</v>
      </c>
      <c r="F56" s="64" t="str">
        <f t="shared" si="1"/>
        <v>MATCH</v>
      </c>
      <c r="G56" s="64" t="str">
        <f t="shared" si="1"/>
        <v>MATCH</v>
      </c>
    </row>
    <row r="57" spans="1:7" x14ac:dyDescent="0.25">
      <c r="A57" s="63" t="s">
        <v>88</v>
      </c>
      <c r="B57" s="63" t="s">
        <v>39</v>
      </c>
      <c r="C57" s="63" t="s">
        <v>114</v>
      </c>
      <c r="D57" s="63" t="s">
        <v>114</v>
      </c>
      <c r="E57" s="63" t="s">
        <v>114</v>
      </c>
      <c r="F57" s="64" t="str">
        <f t="shared" si="1"/>
        <v>MATCH</v>
      </c>
      <c r="G57" s="64" t="str">
        <f t="shared" si="1"/>
        <v>MATCH</v>
      </c>
    </row>
    <row r="58" spans="1:7" x14ac:dyDescent="0.25">
      <c r="A58" s="63" t="s">
        <v>88</v>
      </c>
      <c r="B58" s="63" t="s">
        <v>40</v>
      </c>
      <c r="C58" s="63" t="s">
        <v>115</v>
      </c>
      <c r="D58" s="63" t="s">
        <v>115</v>
      </c>
      <c r="E58" s="63" t="s">
        <v>115</v>
      </c>
      <c r="F58" s="64" t="str">
        <f t="shared" si="1"/>
        <v>MATCH</v>
      </c>
      <c r="G58" s="64" t="str">
        <f t="shared" si="1"/>
        <v>MATCH</v>
      </c>
    </row>
    <row r="59" spans="1:7" x14ac:dyDescent="0.25">
      <c r="A59" s="63" t="s">
        <v>93</v>
      </c>
      <c r="B59" s="63" t="s">
        <v>4</v>
      </c>
      <c r="C59" s="63" t="s">
        <v>116</v>
      </c>
      <c r="D59" s="63" t="s">
        <v>116</v>
      </c>
      <c r="E59" s="63" t="s">
        <v>116</v>
      </c>
      <c r="F59" s="64" t="str">
        <f t="shared" si="1"/>
        <v>MATCH</v>
      </c>
      <c r="G59" s="64" t="str">
        <f t="shared" si="1"/>
        <v>MATCH</v>
      </c>
    </row>
    <row r="60" spans="1:7" x14ac:dyDescent="0.25">
      <c r="A60" s="63" t="s">
        <v>93</v>
      </c>
      <c r="B60" s="63" t="s">
        <v>5</v>
      </c>
      <c r="C60" s="63" t="s">
        <v>117</v>
      </c>
      <c r="D60" s="63" t="s">
        <v>117</v>
      </c>
      <c r="E60" s="63" t="s">
        <v>117</v>
      </c>
      <c r="F60" s="64" t="str">
        <f t="shared" si="1"/>
        <v>MATCH</v>
      </c>
      <c r="G60" s="64" t="str">
        <f t="shared" si="1"/>
        <v>MATCH</v>
      </c>
    </row>
    <row r="61" spans="1:7" x14ac:dyDescent="0.25">
      <c r="A61" s="63" t="s">
        <v>93</v>
      </c>
      <c r="B61" s="6" t="s">
        <v>171</v>
      </c>
      <c r="C61" s="63" t="s">
        <v>116</v>
      </c>
      <c r="D61" s="63" t="s">
        <v>116</v>
      </c>
      <c r="E61" s="63" t="s">
        <v>116</v>
      </c>
      <c r="F61" s="64" t="str">
        <f t="shared" si="1"/>
        <v>MATCH</v>
      </c>
      <c r="G61" s="64" t="str">
        <f t="shared" si="1"/>
        <v>MATCH</v>
      </c>
    </row>
    <row r="62" spans="1:7" x14ac:dyDescent="0.25">
      <c r="A62" s="63" t="s">
        <v>93</v>
      </c>
      <c r="B62" s="73" t="s">
        <v>172</v>
      </c>
      <c r="C62" s="63" t="s">
        <v>117</v>
      </c>
      <c r="D62" s="63" t="s">
        <v>117</v>
      </c>
      <c r="E62" s="63" t="s">
        <v>117</v>
      </c>
      <c r="F62" s="64" t="str">
        <f t="shared" si="1"/>
        <v>MATCH</v>
      </c>
      <c r="G62" s="64" t="str">
        <f t="shared" si="1"/>
        <v>MATCH</v>
      </c>
    </row>
    <row r="63" spans="1:7" x14ac:dyDescent="0.25">
      <c r="A63" s="63" t="s">
        <v>93</v>
      </c>
      <c r="B63" s="63" t="s">
        <v>17</v>
      </c>
      <c r="C63" s="63" t="s">
        <v>118</v>
      </c>
      <c r="D63" s="63" t="s">
        <v>118</v>
      </c>
      <c r="E63" s="63" t="s">
        <v>118</v>
      </c>
      <c r="F63" s="64" t="str">
        <f t="shared" si="1"/>
        <v>MATCH</v>
      </c>
      <c r="G63" s="64" t="str">
        <f t="shared" si="1"/>
        <v>MATCH</v>
      </c>
    </row>
    <row r="64" spans="1:7" x14ac:dyDescent="0.25">
      <c r="A64" s="63" t="s">
        <v>93</v>
      </c>
      <c r="B64" s="63" t="s">
        <v>24</v>
      </c>
      <c r="C64" s="63" t="s">
        <v>119</v>
      </c>
      <c r="D64" s="63" t="s">
        <v>119</v>
      </c>
      <c r="E64" s="63" t="s">
        <v>119</v>
      </c>
      <c r="F64" s="64" t="str">
        <f t="shared" si="1"/>
        <v>MATCH</v>
      </c>
      <c r="G64" s="64" t="str">
        <f t="shared" si="1"/>
        <v>MATCH</v>
      </c>
    </row>
    <row r="65" spans="1:7" x14ac:dyDescent="0.25">
      <c r="A65" s="63" t="s">
        <v>93</v>
      </c>
      <c r="B65" s="63" t="s">
        <v>25</v>
      </c>
      <c r="C65" s="63" t="s">
        <v>120</v>
      </c>
      <c r="D65" s="63" t="s">
        <v>120</v>
      </c>
      <c r="E65" s="63" t="s">
        <v>120</v>
      </c>
      <c r="F65" s="64" t="str">
        <f t="shared" si="1"/>
        <v>MATCH</v>
      </c>
      <c r="G65" s="64" t="str">
        <f t="shared" si="1"/>
        <v>MATCH</v>
      </c>
    </row>
    <row r="66" spans="1:7" x14ac:dyDescent="0.25">
      <c r="A66" s="63" t="s">
        <v>93</v>
      </c>
      <c r="B66" s="6" t="s">
        <v>138</v>
      </c>
      <c r="C66" s="63" t="s">
        <v>139</v>
      </c>
      <c r="D66" s="63" t="s">
        <v>139</v>
      </c>
      <c r="E66" s="63" t="s">
        <v>139</v>
      </c>
      <c r="F66" s="64" t="str">
        <f t="shared" si="1"/>
        <v>MATCH</v>
      </c>
      <c r="G66" s="64" t="str">
        <f t="shared" si="1"/>
        <v>MATCH</v>
      </c>
    </row>
    <row r="67" spans="1:7" x14ac:dyDescent="0.25">
      <c r="A67" s="63" t="s">
        <v>93</v>
      </c>
      <c r="B67" s="6" t="s">
        <v>178</v>
      </c>
      <c r="C67" s="63" t="s">
        <v>119</v>
      </c>
      <c r="D67" s="63" t="s">
        <v>119</v>
      </c>
      <c r="E67" s="63" t="s">
        <v>119</v>
      </c>
      <c r="F67" s="64" t="str">
        <f t="shared" si="1"/>
        <v>MATCH</v>
      </c>
      <c r="G67" s="64" t="str">
        <f t="shared" si="1"/>
        <v>MATCH</v>
      </c>
    </row>
    <row r="68" spans="1:7" x14ac:dyDescent="0.25">
      <c r="A68" s="63" t="s">
        <v>93</v>
      </c>
      <c r="B68" s="6" t="s">
        <v>179</v>
      </c>
      <c r="C68" s="63" t="s">
        <v>119</v>
      </c>
      <c r="D68" s="63" t="s">
        <v>119</v>
      </c>
      <c r="E68" s="63" t="s">
        <v>119</v>
      </c>
      <c r="F68" s="64" t="str">
        <f t="shared" si="1"/>
        <v>MATCH</v>
      </c>
      <c r="G68" s="64" t="str">
        <f t="shared" si="1"/>
        <v>MATCH</v>
      </c>
    </row>
    <row r="69" spans="1:7" x14ac:dyDescent="0.25">
      <c r="A69" s="63" t="s">
        <v>93</v>
      </c>
      <c r="B69" s="6" t="s">
        <v>180</v>
      </c>
      <c r="C69" s="63" t="s">
        <v>119</v>
      </c>
      <c r="D69" s="63" t="s">
        <v>119</v>
      </c>
      <c r="E69" s="63" t="s">
        <v>119</v>
      </c>
      <c r="F69" s="64" t="str">
        <f t="shared" si="1"/>
        <v>MATCH</v>
      </c>
      <c r="G69" s="64" t="str">
        <f t="shared" si="1"/>
        <v>MATCH</v>
      </c>
    </row>
    <row r="70" spans="1:7" x14ac:dyDescent="0.25">
      <c r="A70" s="63" t="s">
        <v>93</v>
      </c>
      <c r="B70" s="6" t="s">
        <v>181</v>
      </c>
      <c r="C70" s="63" t="s">
        <v>119</v>
      </c>
      <c r="D70" s="63" t="s">
        <v>119</v>
      </c>
      <c r="E70" s="63" t="s">
        <v>119</v>
      </c>
      <c r="F70" s="64" t="str">
        <f t="shared" si="1"/>
        <v>MATCH</v>
      </c>
      <c r="G70" s="64" t="str">
        <f t="shared" si="1"/>
        <v>MATCH</v>
      </c>
    </row>
    <row r="71" spans="1:7" x14ac:dyDescent="0.25">
      <c r="A71" s="63" t="s">
        <v>93</v>
      </c>
      <c r="B71" s="63" t="s">
        <v>39</v>
      </c>
      <c r="C71" s="63" t="s">
        <v>119</v>
      </c>
      <c r="D71" s="63" t="s">
        <v>119</v>
      </c>
      <c r="E71" s="63" t="s">
        <v>119</v>
      </c>
      <c r="F71" s="64" t="str">
        <f t="shared" si="1"/>
        <v>MATCH</v>
      </c>
      <c r="G71" s="64" t="str">
        <f t="shared" si="1"/>
        <v>MATCH</v>
      </c>
    </row>
    <row r="72" spans="1:7" x14ac:dyDescent="0.25">
      <c r="A72" s="63" t="s">
        <v>93</v>
      </c>
      <c r="B72" s="63" t="s">
        <v>40</v>
      </c>
      <c r="C72" s="63" t="s">
        <v>120</v>
      </c>
      <c r="D72" s="63" t="s">
        <v>120</v>
      </c>
      <c r="E72" s="63" t="s">
        <v>120</v>
      </c>
      <c r="F72" s="64" t="str">
        <f t="shared" si="1"/>
        <v>MATCH</v>
      </c>
      <c r="G72" s="64" t="str">
        <f t="shared" si="1"/>
        <v>MATCH</v>
      </c>
    </row>
    <row r="73" spans="1:7" x14ac:dyDescent="0.25">
      <c r="A73" s="63" t="s">
        <v>121</v>
      </c>
      <c r="B73" s="63" t="s">
        <v>4</v>
      </c>
      <c r="C73" s="63" t="s">
        <v>122</v>
      </c>
      <c r="D73" s="63" t="s">
        <v>122</v>
      </c>
      <c r="E73" s="63" t="s">
        <v>122</v>
      </c>
      <c r="F73" s="64" t="str">
        <f t="shared" si="1"/>
        <v>MATCH</v>
      </c>
      <c r="G73" s="64" t="str">
        <f t="shared" si="1"/>
        <v>MATCH</v>
      </c>
    </row>
    <row r="74" spans="1:7" x14ac:dyDescent="0.25">
      <c r="A74" s="63" t="s">
        <v>121</v>
      </c>
      <c r="B74" s="63" t="s">
        <v>5</v>
      </c>
      <c r="C74" s="63" t="s">
        <v>123</v>
      </c>
      <c r="D74" s="63" t="s">
        <v>123</v>
      </c>
      <c r="E74" s="63" t="s">
        <v>123</v>
      </c>
      <c r="F74" s="64" t="str">
        <f t="shared" si="1"/>
        <v>MATCH</v>
      </c>
      <c r="G74" s="64" t="str">
        <f t="shared" si="1"/>
        <v>MATCH</v>
      </c>
    </row>
    <row r="75" spans="1:7" x14ac:dyDescent="0.25">
      <c r="A75" s="63" t="s">
        <v>121</v>
      </c>
      <c r="B75" s="6" t="s">
        <v>171</v>
      </c>
      <c r="C75" s="63" t="s">
        <v>122</v>
      </c>
      <c r="D75" s="63" t="s">
        <v>122</v>
      </c>
      <c r="E75" s="63" t="s">
        <v>122</v>
      </c>
      <c r="F75" s="64" t="str">
        <f t="shared" si="1"/>
        <v>MATCH</v>
      </c>
      <c r="G75" s="64" t="str">
        <f t="shared" si="1"/>
        <v>MATCH</v>
      </c>
    </row>
    <row r="76" spans="1:7" x14ac:dyDescent="0.25">
      <c r="A76" s="63" t="s">
        <v>121</v>
      </c>
      <c r="B76" s="73" t="s">
        <v>172</v>
      </c>
      <c r="C76" s="63" t="s">
        <v>123</v>
      </c>
      <c r="D76" s="63" t="s">
        <v>123</v>
      </c>
      <c r="E76" s="63" t="s">
        <v>123</v>
      </c>
      <c r="F76" s="64" t="str">
        <f t="shared" si="1"/>
        <v>MATCH</v>
      </c>
      <c r="G76" s="64" t="str">
        <f t="shared" si="1"/>
        <v>MATCH</v>
      </c>
    </row>
    <row r="77" spans="1:7" x14ac:dyDescent="0.25">
      <c r="A77" s="63" t="s">
        <v>121</v>
      </c>
      <c r="B77" s="63" t="s">
        <v>17</v>
      </c>
      <c r="C77" s="63" t="s">
        <v>124</v>
      </c>
      <c r="D77" s="63" t="s">
        <v>124</v>
      </c>
      <c r="E77" s="63" t="s">
        <v>124</v>
      </c>
      <c r="F77" s="64" t="str">
        <f t="shared" si="1"/>
        <v>MATCH</v>
      </c>
      <c r="G77" s="64" t="str">
        <f t="shared" si="1"/>
        <v>MATCH</v>
      </c>
    </row>
    <row r="78" spans="1:7" x14ac:dyDescent="0.25">
      <c r="A78" s="63" t="s">
        <v>121</v>
      </c>
      <c r="B78" s="63" t="s">
        <v>24</v>
      </c>
      <c r="C78" s="63" t="s">
        <v>119</v>
      </c>
      <c r="D78" s="63" t="s">
        <v>119</v>
      </c>
      <c r="E78" s="63" t="s">
        <v>119</v>
      </c>
      <c r="F78" s="64" t="str">
        <f t="shared" si="1"/>
        <v>MATCH</v>
      </c>
      <c r="G78" s="64" t="str">
        <f t="shared" si="1"/>
        <v>MATCH</v>
      </c>
    </row>
    <row r="79" spans="1:7" x14ac:dyDescent="0.25">
      <c r="A79" s="63" t="s">
        <v>121</v>
      </c>
      <c r="B79" s="63" t="s">
        <v>25</v>
      </c>
      <c r="C79" s="63" t="s">
        <v>125</v>
      </c>
      <c r="D79" s="63" t="s">
        <v>125</v>
      </c>
      <c r="E79" s="63" t="s">
        <v>125</v>
      </c>
      <c r="F79" s="64" t="str">
        <f t="shared" si="1"/>
        <v>MATCH</v>
      </c>
      <c r="G79" s="64" t="str">
        <f t="shared" si="1"/>
        <v>MATCH</v>
      </c>
    </row>
    <row r="80" spans="1:7" x14ac:dyDescent="0.25">
      <c r="A80" s="63" t="s">
        <v>121</v>
      </c>
      <c r="B80" s="6" t="s">
        <v>138</v>
      </c>
      <c r="C80" s="63" t="s">
        <v>139</v>
      </c>
      <c r="D80" s="63" t="s">
        <v>139</v>
      </c>
      <c r="E80" s="63" t="s">
        <v>139</v>
      </c>
      <c r="F80" s="64" t="str">
        <f t="shared" si="1"/>
        <v>MATCH</v>
      </c>
      <c r="G80" s="64" t="str">
        <f t="shared" si="1"/>
        <v>MATCH</v>
      </c>
    </row>
    <row r="81" spans="1:7" x14ac:dyDescent="0.25">
      <c r="A81" s="63" t="s">
        <v>121</v>
      </c>
      <c r="B81" s="6" t="s">
        <v>178</v>
      </c>
      <c r="C81" s="63" t="s">
        <v>119</v>
      </c>
      <c r="D81" s="63" t="s">
        <v>119</v>
      </c>
      <c r="E81" s="63" t="s">
        <v>119</v>
      </c>
      <c r="F81" s="64" t="str">
        <f t="shared" si="1"/>
        <v>MATCH</v>
      </c>
      <c r="G81" s="64" t="str">
        <f t="shared" si="1"/>
        <v>MATCH</v>
      </c>
    </row>
    <row r="82" spans="1:7" x14ac:dyDescent="0.25">
      <c r="A82" s="63" t="s">
        <v>121</v>
      </c>
      <c r="B82" s="6" t="s">
        <v>179</v>
      </c>
      <c r="C82" s="63" t="s">
        <v>119</v>
      </c>
      <c r="D82" s="63" t="s">
        <v>119</v>
      </c>
      <c r="E82" s="63" t="s">
        <v>119</v>
      </c>
      <c r="F82" s="64" t="str">
        <f t="shared" si="1"/>
        <v>MATCH</v>
      </c>
      <c r="G82" s="64" t="str">
        <f t="shared" si="1"/>
        <v>MATCH</v>
      </c>
    </row>
    <row r="83" spans="1:7" x14ac:dyDescent="0.25">
      <c r="A83" s="63" t="s">
        <v>121</v>
      </c>
      <c r="B83" s="6" t="s">
        <v>180</v>
      </c>
      <c r="C83" s="63" t="s">
        <v>119</v>
      </c>
      <c r="D83" s="63" t="s">
        <v>119</v>
      </c>
      <c r="E83" s="63" t="s">
        <v>119</v>
      </c>
      <c r="F83" s="64" t="str">
        <f t="shared" si="1"/>
        <v>MATCH</v>
      </c>
      <c r="G83" s="64" t="str">
        <f t="shared" si="1"/>
        <v>MATCH</v>
      </c>
    </row>
    <row r="84" spans="1:7" x14ac:dyDescent="0.25">
      <c r="A84" s="63" t="s">
        <v>121</v>
      </c>
      <c r="B84" s="6" t="s">
        <v>181</v>
      </c>
      <c r="C84" s="63" t="s">
        <v>119</v>
      </c>
      <c r="D84" s="63" t="s">
        <v>119</v>
      </c>
      <c r="E84" s="63" t="s">
        <v>119</v>
      </c>
      <c r="F84" s="64" t="str">
        <f t="shared" ref="F84:G119" si="2">+IF(C84=D84,"MATCH","MISMATCH")</f>
        <v>MATCH</v>
      </c>
      <c r="G84" s="64" t="str">
        <f t="shared" si="2"/>
        <v>MATCH</v>
      </c>
    </row>
    <row r="85" spans="1:7" x14ac:dyDescent="0.25">
      <c r="A85" s="63" t="s">
        <v>121</v>
      </c>
      <c r="B85" s="63" t="s">
        <v>39</v>
      </c>
      <c r="C85" s="63" t="s">
        <v>119</v>
      </c>
      <c r="D85" s="63" t="s">
        <v>119</v>
      </c>
      <c r="E85" s="63" t="s">
        <v>119</v>
      </c>
      <c r="F85" s="64" t="str">
        <f t="shared" si="2"/>
        <v>MATCH</v>
      </c>
      <c r="G85" s="64" t="str">
        <f t="shared" si="2"/>
        <v>MATCH</v>
      </c>
    </row>
    <row r="86" spans="1:7" x14ac:dyDescent="0.25">
      <c r="A86" s="63" t="s">
        <v>121</v>
      </c>
      <c r="B86" s="63" t="s">
        <v>40</v>
      </c>
      <c r="C86" s="63" t="s">
        <v>125</v>
      </c>
      <c r="D86" s="63" t="s">
        <v>125</v>
      </c>
      <c r="E86" s="63" t="s">
        <v>125</v>
      </c>
      <c r="F86" s="64" t="str">
        <f t="shared" si="2"/>
        <v>MATCH</v>
      </c>
      <c r="G86" s="64" t="str">
        <f t="shared" si="2"/>
        <v>MATCH</v>
      </c>
    </row>
    <row r="87" spans="1:7" x14ac:dyDescent="0.25">
      <c r="A87" s="63" t="s">
        <v>126</v>
      </c>
      <c r="B87" s="63" t="s">
        <v>4</v>
      </c>
      <c r="C87" s="63" t="s">
        <v>101</v>
      </c>
      <c r="D87" s="63" t="s">
        <v>101</v>
      </c>
      <c r="E87" s="63" t="s">
        <v>101</v>
      </c>
      <c r="F87" s="64" t="str">
        <f t="shared" si="2"/>
        <v>MATCH</v>
      </c>
      <c r="G87" s="64" t="str">
        <f t="shared" si="2"/>
        <v>MATCH</v>
      </c>
    </row>
    <row r="88" spans="1:7" x14ac:dyDescent="0.25">
      <c r="A88" s="63" t="s">
        <v>126</v>
      </c>
      <c r="B88" s="63" t="s">
        <v>5</v>
      </c>
      <c r="C88" s="63" t="s">
        <v>102</v>
      </c>
      <c r="D88" s="63" t="s">
        <v>102</v>
      </c>
      <c r="E88" s="63" t="s">
        <v>102</v>
      </c>
      <c r="F88" s="64" t="str">
        <f t="shared" si="2"/>
        <v>MATCH</v>
      </c>
      <c r="G88" s="64" t="str">
        <f t="shared" si="2"/>
        <v>MATCH</v>
      </c>
    </row>
    <row r="89" spans="1:7" x14ac:dyDescent="0.25">
      <c r="A89" s="63" t="s">
        <v>126</v>
      </c>
      <c r="B89" s="6" t="s">
        <v>171</v>
      </c>
      <c r="C89" s="63" t="s">
        <v>101</v>
      </c>
      <c r="D89" s="63" t="s">
        <v>101</v>
      </c>
      <c r="E89" s="63" t="s">
        <v>101</v>
      </c>
      <c r="F89" s="64" t="str">
        <f t="shared" si="2"/>
        <v>MATCH</v>
      </c>
      <c r="G89" s="64" t="str">
        <f t="shared" si="2"/>
        <v>MATCH</v>
      </c>
    </row>
    <row r="90" spans="1:7" x14ac:dyDescent="0.25">
      <c r="A90" s="63" t="s">
        <v>126</v>
      </c>
      <c r="B90" s="73" t="s">
        <v>172</v>
      </c>
      <c r="C90" s="63" t="s">
        <v>102</v>
      </c>
      <c r="D90" s="63" t="s">
        <v>102</v>
      </c>
      <c r="E90" s="63" t="s">
        <v>102</v>
      </c>
      <c r="F90" s="64" t="str">
        <f t="shared" si="2"/>
        <v>MATCH</v>
      </c>
      <c r="G90" s="64" t="str">
        <f t="shared" si="2"/>
        <v>MATCH</v>
      </c>
    </row>
    <row r="91" spans="1:7" x14ac:dyDescent="0.25">
      <c r="A91" s="63" t="s">
        <v>126</v>
      </c>
      <c r="B91" s="63" t="s">
        <v>17</v>
      </c>
      <c r="C91" s="63" t="s">
        <v>103</v>
      </c>
      <c r="D91" s="63" t="s">
        <v>103</v>
      </c>
      <c r="E91" s="63" t="s">
        <v>103</v>
      </c>
      <c r="F91" s="64" t="str">
        <f t="shared" si="2"/>
        <v>MATCH</v>
      </c>
      <c r="G91" s="64" t="str">
        <f t="shared" si="2"/>
        <v>MATCH</v>
      </c>
    </row>
    <row r="92" spans="1:7" x14ac:dyDescent="0.25">
      <c r="A92" s="63" t="s">
        <v>126</v>
      </c>
      <c r="B92" s="63" t="s">
        <v>24</v>
      </c>
      <c r="C92" s="63" t="s">
        <v>104</v>
      </c>
      <c r="D92" s="63" t="s">
        <v>104</v>
      </c>
      <c r="E92" s="63" t="s">
        <v>104</v>
      </c>
      <c r="F92" s="64" t="str">
        <f t="shared" si="2"/>
        <v>MATCH</v>
      </c>
      <c r="G92" s="64" t="str">
        <f t="shared" si="2"/>
        <v>MATCH</v>
      </c>
    </row>
    <row r="93" spans="1:7" x14ac:dyDescent="0.25">
      <c r="A93" s="63" t="s">
        <v>126</v>
      </c>
      <c r="B93" s="63" t="s">
        <v>25</v>
      </c>
      <c r="C93" s="63" t="s">
        <v>105</v>
      </c>
      <c r="D93" s="63" t="s">
        <v>105</v>
      </c>
      <c r="E93" s="63" t="s">
        <v>105</v>
      </c>
      <c r="F93" s="64" t="str">
        <f t="shared" si="2"/>
        <v>MATCH</v>
      </c>
      <c r="G93" s="64" t="str">
        <f t="shared" si="2"/>
        <v>MATCH</v>
      </c>
    </row>
    <row r="94" spans="1:7" x14ac:dyDescent="0.25">
      <c r="A94" s="63" t="s">
        <v>126</v>
      </c>
      <c r="B94" s="6" t="s">
        <v>138</v>
      </c>
      <c r="C94" s="63" t="s">
        <v>139</v>
      </c>
      <c r="D94" s="63" t="s">
        <v>139</v>
      </c>
      <c r="E94" s="63" t="s">
        <v>139</v>
      </c>
      <c r="F94" s="64" t="str">
        <f t="shared" si="2"/>
        <v>MATCH</v>
      </c>
      <c r="G94" s="64" t="str">
        <f t="shared" si="2"/>
        <v>MATCH</v>
      </c>
    </row>
    <row r="95" spans="1:7" x14ac:dyDescent="0.25">
      <c r="A95" s="63" t="s">
        <v>126</v>
      </c>
      <c r="B95" s="6" t="s">
        <v>178</v>
      </c>
      <c r="C95" s="63" t="s">
        <v>104</v>
      </c>
      <c r="D95" s="63" t="s">
        <v>104</v>
      </c>
      <c r="E95" s="63" t="s">
        <v>104</v>
      </c>
      <c r="F95" s="64" t="str">
        <f t="shared" si="2"/>
        <v>MATCH</v>
      </c>
      <c r="G95" s="64" t="str">
        <f t="shared" si="2"/>
        <v>MATCH</v>
      </c>
    </row>
    <row r="96" spans="1:7" x14ac:dyDescent="0.25">
      <c r="A96" s="63" t="s">
        <v>126</v>
      </c>
      <c r="B96" s="6" t="s">
        <v>179</v>
      </c>
      <c r="C96" s="63" t="s">
        <v>104</v>
      </c>
      <c r="D96" s="63" t="s">
        <v>104</v>
      </c>
      <c r="E96" s="63" t="s">
        <v>104</v>
      </c>
      <c r="F96" s="64" t="str">
        <f t="shared" si="2"/>
        <v>MATCH</v>
      </c>
      <c r="G96" s="64" t="str">
        <f t="shared" si="2"/>
        <v>MATCH</v>
      </c>
    </row>
    <row r="97" spans="1:7" x14ac:dyDescent="0.25">
      <c r="A97" s="63" t="s">
        <v>126</v>
      </c>
      <c r="B97" s="6" t="s">
        <v>180</v>
      </c>
      <c r="C97" s="63" t="s">
        <v>104</v>
      </c>
      <c r="D97" s="63" t="s">
        <v>104</v>
      </c>
      <c r="E97" s="63" t="s">
        <v>104</v>
      </c>
      <c r="F97" s="64" t="str">
        <f t="shared" si="2"/>
        <v>MATCH</v>
      </c>
      <c r="G97" s="64" t="str">
        <f t="shared" si="2"/>
        <v>MATCH</v>
      </c>
    </row>
    <row r="98" spans="1:7" x14ac:dyDescent="0.25">
      <c r="A98" s="63" t="s">
        <v>126</v>
      </c>
      <c r="B98" s="6" t="s">
        <v>181</v>
      </c>
      <c r="C98" s="63" t="s">
        <v>104</v>
      </c>
      <c r="D98" s="63" t="s">
        <v>104</v>
      </c>
      <c r="E98" s="63" t="s">
        <v>104</v>
      </c>
      <c r="F98" s="64" t="str">
        <f t="shared" si="2"/>
        <v>MATCH</v>
      </c>
      <c r="G98" s="64" t="str">
        <f t="shared" si="2"/>
        <v>MATCH</v>
      </c>
    </row>
    <row r="99" spans="1:7" x14ac:dyDescent="0.25">
      <c r="A99" s="63" t="s">
        <v>126</v>
      </c>
      <c r="B99" s="63" t="s">
        <v>39</v>
      </c>
      <c r="C99" s="63" t="s">
        <v>104</v>
      </c>
      <c r="D99" s="63" t="s">
        <v>104</v>
      </c>
      <c r="E99" s="63" t="s">
        <v>104</v>
      </c>
      <c r="F99" s="64" t="str">
        <f t="shared" si="2"/>
        <v>MATCH</v>
      </c>
      <c r="G99" s="64" t="str">
        <f t="shared" si="2"/>
        <v>MATCH</v>
      </c>
    </row>
    <row r="100" spans="1:7" x14ac:dyDescent="0.25">
      <c r="A100" s="63" t="s">
        <v>126</v>
      </c>
      <c r="B100" s="63" t="s">
        <v>40</v>
      </c>
      <c r="C100" s="63" t="s">
        <v>105</v>
      </c>
      <c r="D100" s="63" t="s">
        <v>105</v>
      </c>
      <c r="E100" s="63" t="s">
        <v>105</v>
      </c>
      <c r="F100" s="64" t="str">
        <f t="shared" si="2"/>
        <v>MATCH</v>
      </c>
      <c r="G100" s="64" t="str">
        <f t="shared" si="2"/>
        <v>MATCH</v>
      </c>
    </row>
    <row r="101" spans="1:7" x14ac:dyDescent="0.25">
      <c r="A101" s="63" t="s">
        <v>91</v>
      </c>
      <c r="B101" s="63" t="s">
        <v>4</v>
      </c>
      <c r="C101" s="63" t="s">
        <v>111</v>
      </c>
      <c r="D101" s="63" t="s">
        <v>111</v>
      </c>
      <c r="E101" s="63" t="s">
        <v>127</v>
      </c>
      <c r="F101" s="64" t="str">
        <f t="shared" si="2"/>
        <v>MATCH</v>
      </c>
      <c r="G101" s="64" t="str">
        <f t="shared" si="2"/>
        <v>MISMATCH</v>
      </c>
    </row>
    <row r="102" spans="1:7" x14ac:dyDescent="0.25">
      <c r="A102" s="63" t="s">
        <v>91</v>
      </c>
      <c r="B102" s="63" t="s">
        <v>5</v>
      </c>
      <c r="C102" s="63" t="s">
        <v>112</v>
      </c>
      <c r="D102" s="63" t="s">
        <v>112</v>
      </c>
      <c r="E102" s="63" t="s">
        <v>127</v>
      </c>
      <c r="F102" s="64" t="str">
        <f t="shared" si="2"/>
        <v>MATCH</v>
      </c>
      <c r="G102" s="64" t="str">
        <f t="shared" si="2"/>
        <v>MISMATCH</v>
      </c>
    </row>
    <row r="103" spans="1:7" x14ac:dyDescent="0.25">
      <c r="A103" s="63" t="s">
        <v>91</v>
      </c>
      <c r="B103" s="6" t="s">
        <v>171</v>
      </c>
      <c r="C103" s="63" t="s">
        <v>111</v>
      </c>
      <c r="D103" s="63" t="s">
        <v>111</v>
      </c>
      <c r="E103" s="63" t="s">
        <v>127</v>
      </c>
      <c r="F103" s="64" t="str">
        <f t="shared" si="2"/>
        <v>MATCH</v>
      </c>
      <c r="G103" s="64" t="str">
        <f t="shared" si="2"/>
        <v>MISMATCH</v>
      </c>
    </row>
    <row r="104" spans="1:7" x14ac:dyDescent="0.25">
      <c r="A104" s="63" t="s">
        <v>91</v>
      </c>
      <c r="B104" s="73" t="s">
        <v>172</v>
      </c>
      <c r="C104" s="63" t="s">
        <v>112</v>
      </c>
      <c r="D104" s="63" t="s">
        <v>112</v>
      </c>
      <c r="E104" s="63" t="s">
        <v>127</v>
      </c>
      <c r="F104" s="64" t="str">
        <f t="shared" si="2"/>
        <v>MATCH</v>
      </c>
      <c r="G104" s="64" t="str">
        <f t="shared" si="2"/>
        <v>MISMATCH</v>
      </c>
    </row>
    <row r="105" spans="1:7" x14ac:dyDescent="0.25">
      <c r="A105" s="63" t="s">
        <v>91</v>
      </c>
      <c r="B105" s="63" t="s">
        <v>17</v>
      </c>
      <c r="C105" s="63" t="s">
        <v>113</v>
      </c>
      <c r="D105" s="63" t="s">
        <v>113</v>
      </c>
      <c r="E105" s="63" t="s">
        <v>127</v>
      </c>
      <c r="F105" s="64" t="str">
        <f t="shared" si="2"/>
        <v>MATCH</v>
      </c>
      <c r="G105" s="64" t="str">
        <f t="shared" si="2"/>
        <v>MISMATCH</v>
      </c>
    </row>
    <row r="106" spans="1:7" x14ac:dyDescent="0.25">
      <c r="A106" s="63" t="s">
        <v>91</v>
      </c>
      <c r="B106" s="63" t="s">
        <v>24</v>
      </c>
      <c r="C106" s="63" t="s">
        <v>114</v>
      </c>
      <c r="D106" s="63" t="s">
        <v>114</v>
      </c>
      <c r="E106" s="63" t="s">
        <v>127</v>
      </c>
      <c r="F106" s="64" t="str">
        <f t="shared" si="2"/>
        <v>MATCH</v>
      </c>
      <c r="G106" s="64" t="str">
        <f t="shared" si="2"/>
        <v>MISMATCH</v>
      </c>
    </row>
    <row r="107" spans="1:7" x14ac:dyDescent="0.25">
      <c r="A107" s="63" t="s">
        <v>91</v>
      </c>
      <c r="B107" s="63" t="s">
        <v>25</v>
      </c>
      <c r="C107" s="63" t="s">
        <v>128</v>
      </c>
      <c r="D107" s="63" t="s">
        <v>128</v>
      </c>
      <c r="E107" s="63" t="s">
        <v>127</v>
      </c>
      <c r="F107" s="64" t="str">
        <f t="shared" si="2"/>
        <v>MATCH</v>
      </c>
      <c r="G107" s="64" t="str">
        <f t="shared" si="2"/>
        <v>MISMATCH</v>
      </c>
    </row>
    <row r="108" spans="1:7" x14ac:dyDescent="0.25">
      <c r="A108" s="63" t="s">
        <v>91</v>
      </c>
      <c r="B108" s="6" t="s">
        <v>138</v>
      </c>
      <c r="C108" s="63" t="s">
        <v>139</v>
      </c>
      <c r="D108" s="63" t="s">
        <v>139</v>
      </c>
      <c r="E108" s="63" t="s">
        <v>127</v>
      </c>
      <c r="F108" s="64" t="str">
        <f t="shared" si="2"/>
        <v>MATCH</v>
      </c>
      <c r="G108" s="64" t="str">
        <f t="shared" si="2"/>
        <v>MISMATCH</v>
      </c>
    </row>
    <row r="109" spans="1:7" x14ac:dyDescent="0.25">
      <c r="A109" s="63" t="s">
        <v>91</v>
      </c>
      <c r="B109" s="6" t="s">
        <v>178</v>
      </c>
      <c r="C109" s="63" t="s">
        <v>114</v>
      </c>
      <c r="D109" s="63" t="s">
        <v>114</v>
      </c>
      <c r="E109" s="63" t="s">
        <v>127</v>
      </c>
      <c r="F109" s="64" t="str">
        <f t="shared" si="2"/>
        <v>MATCH</v>
      </c>
      <c r="G109" s="64" t="str">
        <f t="shared" si="2"/>
        <v>MISMATCH</v>
      </c>
    </row>
    <row r="110" spans="1:7" x14ac:dyDescent="0.25">
      <c r="A110" s="63" t="s">
        <v>91</v>
      </c>
      <c r="B110" s="6" t="s">
        <v>179</v>
      </c>
      <c r="C110" s="63" t="s">
        <v>114</v>
      </c>
      <c r="D110" s="63" t="s">
        <v>114</v>
      </c>
      <c r="E110" s="63" t="s">
        <v>127</v>
      </c>
      <c r="F110" s="64" t="str">
        <f t="shared" si="2"/>
        <v>MATCH</v>
      </c>
      <c r="G110" s="64" t="str">
        <f t="shared" si="2"/>
        <v>MISMATCH</v>
      </c>
    </row>
    <row r="111" spans="1:7" x14ac:dyDescent="0.25">
      <c r="A111" s="63" t="s">
        <v>91</v>
      </c>
      <c r="B111" s="6" t="s">
        <v>180</v>
      </c>
      <c r="C111" s="63" t="s">
        <v>114</v>
      </c>
      <c r="D111" s="63" t="s">
        <v>114</v>
      </c>
      <c r="E111" s="63" t="s">
        <v>127</v>
      </c>
      <c r="F111" s="64" t="str">
        <f t="shared" si="2"/>
        <v>MATCH</v>
      </c>
      <c r="G111" s="64" t="str">
        <f t="shared" si="2"/>
        <v>MISMATCH</v>
      </c>
    </row>
    <row r="112" spans="1:7" x14ac:dyDescent="0.25">
      <c r="A112" s="63" t="s">
        <v>91</v>
      </c>
      <c r="B112" s="6" t="s">
        <v>181</v>
      </c>
      <c r="C112" s="63" t="s">
        <v>114</v>
      </c>
      <c r="D112" s="63" t="s">
        <v>114</v>
      </c>
      <c r="E112" s="63" t="s">
        <v>127</v>
      </c>
      <c r="F112" s="64" t="str">
        <f t="shared" si="2"/>
        <v>MATCH</v>
      </c>
      <c r="G112" s="64" t="str">
        <f t="shared" si="2"/>
        <v>MISMATCH</v>
      </c>
    </row>
    <row r="113" spans="1:7" x14ac:dyDescent="0.25">
      <c r="A113" s="63" t="s">
        <v>91</v>
      </c>
      <c r="B113" s="63" t="s">
        <v>39</v>
      </c>
      <c r="C113" s="63" t="s">
        <v>114</v>
      </c>
      <c r="D113" s="63" t="s">
        <v>114</v>
      </c>
      <c r="E113" s="63" t="s">
        <v>127</v>
      </c>
      <c r="F113" s="64" t="str">
        <f t="shared" si="2"/>
        <v>MATCH</v>
      </c>
      <c r="G113" s="64" t="str">
        <f t="shared" si="2"/>
        <v>MISMATCH</v>
      </c>
    </row>
    <row r="114" spans="1:7" x14ac:dyDescent="0.25">
      <c r="A114" s="63" t="s">
        <v>91</v>
      </c>
      <c r="B114" s="63" t="s">
        <v>40</v>
      </c>
      <c r="C114" s="63" t="s">
        <v>128</v>
      </c>
      <c r="D114" s="63" t="s">
        <v>128</v>
      </c>
      <c r="E114" s="63" t="s">
        <v>127</v>
      </c>
      <c r="F114" s="64" t="str">
        <f t="shared" si="2"/>
        <v>MATCH</v>
      </c>
      <c r="G114" s="64" t="str">
        <f t="shared" si="2"/>
        <v>MISMATCH</v>
      </c>
    </row>
    <row r="115" spans="1:7" x14ac:dyDescent="0.25">
      <c r="A115" s="63" t="s">
        <v>63</v>
      </c>
      <c r="B115" s="63" t="s">
        <v>4</v>
      </c>
      <c r="C115" s="63" t="s">
        <v>101</v>
      </c>
      <c r="D115" s="63" t="s">
        <v>101</v>
      </c>
      <c r="E115" s="63" t="s">
        <v>101</v>
      </c>
      <c r="F115" s="64" t="str">
        <f t="shared" si="2"/>
        <v>MATCH</v>
      </c>
      <c r="G115" s="64" t="str">
        <f t="shared" si="2"/>
        <v>MATCH</v>
      </c>
    </row>
    <row r="116" spans="1:7" x14ac:dyDescent="0.25">
      <c r="A116" s="63" t="s">
        <v>63</v>
      </c>
      <c r="B116" s="63" t="s">
        <v>5</v>
      </c>
      <c r="C116" s="63" t="s">
        <v>102</v>
      </c>
      <c r="D116" s="63" t="s">
        <v>102</v>
      </c>
      <c r="E116" s="63" t="s">
        <v>102</v>
      </c>
      <c r="F116" s="64" t="str">
        <f t="shared" si="2"/>
        <v>MATCH</v>
      </c>
      <c r="G116" s="64" t="str">
        <f t="shared" si="2"/>
        <v>MATCH</v>
      </c>
    </row>
    <row r="117" spans="1:7" x14ac:dyDescent="0.25">
      <c r="A117" s="63" t="s">
        <v>63</v>
      </c>
      <c r="B117" s="6" t="s">
        <v>171</v>
      </c>
      <c r="C117" s="63" t="s">
        <v>101</v>
      </c>
      <c r="D117" s="63" t="s">
        <v>101</v>
      </c>
      <c r="E117" s="63" t="s">
        <v>101</v>
      </c>
      <c r="F117" s="64" t="str">
        <f t="shared" si="2"/>
        <v>MATCH</v>
      </c>
      <c r="G117" s="64" t="str">
        <f t="shared" si="2"/>
        <v>MATCH</v>
      </c>
    </row>
    <row r="118" spans="1:7" x14ac:dyDescent="0.25">
      <c r="A118" s="63" t="s">
        <v>63</v>
      </c>
      <c r="B118" s="73" t="s">
        <v>172</v>
      </c>
      <c r="C118" s="63" t="s">
        <v>102</v>
      </c>
      <c r="D118" s="63" t="s">
        <v>102</v>
      </c>
      <c r="E118" s="63" t="s">
        <v>102</v>
      </c>
      <c r="F118" s="64" t="str">
        <f t="shared" si="2"/>
        <v>MATCH</v>
      </c>
      <c r="G118" s="64" t="str">
        <f t="shared" si="2"/>
        <v>MATCH</v>
      </c>
    </row>
    <row r="119" spans="1:7" x14ac:dyDescent="0.25">
      <c r="A119" s="63" t="s">
        <v>63</v>
      </c>
      <c r="B119" s="63" t="s">
        <v>17</v>
      </c>
      <c r="C119" s="63" t="s">
        <v>103</v>
      </c>
      <c r="D119" s="63" t="s">
        <v>103</v>
      </c>
      <c r="E119" s="63" t="s">
        <v>103</v>
      </c>
      <c r="F119" s="64" t="str">
        <f t="shared" si="2"/>
        <v>MATCH</v>
      </c>
      <c r="G119" s="64" t="str">
        <f t="shared" si="2"/>
        <v>MATCH</v>
      </c>
    </row>
    <row r="120" spans="1:7" x14ac:dyDescent="0.25">
      <c r="A120" s="63" t="s">
        <v>63</v>
      </c>
      <c r="B120" s="63" t="s">
        <v>24</v>
      </c>
      <c r="C120" s="63" t="s">
        <v>104</v>
      </c>
      <c r="D120" s="63" t="s">
        <v>104</v>
      </c>
      <c r="E120" s="63" t="s">
        <v>104</v>
      </c>
      <c r="F120" s="64" t="str">
        <f t="shared" ref="F120:G183" si="3">+IF(C120=D120,"MATCH","MISMATCH")</f>
        <v>MATCH</v>
      </c>
      <c r="G120" s="64" t="str">
        <f t="shared" si="3"/>
        <v>MATCH</v>
      </c>
    </row>
    <row r="121" spans="1:7" x14ac:dyDescent="0.25">
      <c r="A121" s="63" t="s">
        <v>63</v>
      </c>
      <c r="B121" s="63" t="s">
        <v>25</v>
      </c>
      <c r="C121" s="63" t="s">
        <v>105</v>
      </c>
      <c r="D121" s="63" t="s">
        <v>105</v>
      </c>
      <c r="E121" s="63" t="s">
        <v>105</v>
      </c>
      <c r="F121" s="64" t="str">
        <f t="shared" si="3"/>
        <v>MATCH</v>
      </c>
      <c r="G121" s="64" t="str">
        <f t="shared" si="3"/>
        <v>MATCH</v>
      </c>
    </row>
    <row r="122" spans="1:7" x14ac:dyDescent="0.25">
      <c r="A122" s="63" t="s">
        <v>63</v>
      </c>
      <c r="B122" s="6" t="s">
        <v>138</v>
      </c>
      <c r="C122" s="63" t="s">
        <v>139</v>
      </c>
      <c r="D122" s="63" t="s">
        <v>139</v>
      </c>
      <c r="E122" s="63" t="s">
        <v>139</v>
      </c>
      <c r="F122" s="64" t="str">
        <f t="shared" si="3"/>
        <v>MATCH</v>
      </c>
      <c r="G122" s="64" t="str">
        <f t="shared" si="3"/>
        <v>MATCH</v>
      </c>
    </row>
    <row r="123" spans="1:7" x14ac:dyDescent="0.25">
      <c r="A123" s="63" t="s">
        <v>63</v>
      </c>
      <c r="B123" s="6" t="s">
        <v>178</v>
      </c>
      <c r="C123" s="63" t="s">
        <v>104</v>
      </c>
      <c r="D123" s="63" t="s">
        <v>104</v>
      </c>
      <c r="E123" s="63" t="s">
        <v>104</v>
      </c>
      <c r="F123" s="64" t="str">
        <f t="shared" si="3"/>
        <v>MATCH</v>
      </c>
      <c r="G123" s="64" t="str">
        <f t="shared" si="3"/>
        <v>MATCH</v>
      </c>
    </row>
    <row r="124" spans="1:7" x14ac:dyDescent="0.25">
      <c r="A124" s="63" t="s">
        <v>63</v>
      </c>
      <c r="B124" s="6" t="s">
        <v>179</v>
      </c>
      <c r="C124" s="63" t="s">
        <v>104</v>
      </c>
      <c r="D124" s="63" t="s">
        <v>104</v>
      </c>
      <c r="E124" s="63" t="s">
        <v>104</v>
      </c>
      <c r="F124" s="64" t="str">
        <f t="shared" si="3"/>
        <v>MATCH</v>
      </c>
      <c r="G124" s="64" t="str">
        <f t="shared" si="3"/>
        <v>MATCH</v>
      </c>
    </row>
    <row r="125" spans="1:7" x14ac:dyDescent="0.25">
      <c r="A125" s="63" t="s">
        <v>63</v>
      </c>
      <c r="B125" s="6" t="s">
        <v>180</v>
      </c>
      <c r="C125" s="63" t="s">
        <v>104</v>
      </c>
      <c r="D125" s="63" t="s">
        <v>104</v>
      </c>
      <c r="E125" s="63" t="s">
        <v>104</v>
      </c>
      <c r="F125" s="64" t="str">
        <f t="shared" si="3"/>
        <v>MATCH</v>
      </c>
      <c r="G125" s="64" t="str">
        <f t="shared" si="3"/>
        <v>MATCH</v>
      </c>
    </row>
    <row r="126" spans="1:7" x14ac:dyDescent="0.25">
      <c r="A126" s="63" t="s">
        <v>63</v>
      </c>
      <c r="B126" s="6" t="s">
        <v>181</v>
      </c>
      <c r="C126" s="63" t="s">
        <v>104</v>
      </c>
      <c r="D126" s="63" t="s">
        <v>104</v>
      </c>
      <c r="E126" s="63" t="s">
        <v>104</v>
      </c>
      <c r="F126" s="64" t="str">
        <f t="shared" si="3"/>
        <v>MATCH</v>
      </c>
      <c r="G126" s="64" t="str">
        <f t="shared" si="3"/>
        <v>MATCH</v>
      </c>
    </row>
    <row r="127" spans="1:7" x14ac:dyDescent="0.25">
      <c r="A127" s="63" t="s">
        <v>63</v>
      </c>
      <c r="B127" s="63" t="s">
        <v>39</v>
      </c>
      <c r="C127" s="63" t="s">
        <v>104</v>
      </c>
      <c r="D127" s="63" t="s">
        <v>104</v>
      </c>
      <c r="E127" s="63" t="s">
        <v>104</v>
      </c>
      <c r="F127" s="64" t="str">
        <f t="shared" si="3"/>
        <v>MATCH</v>
      </c>
      <c r="G127" s="64" t="str">
        <f t="shared" si="3"/>
        <v>MATCH</v>
      </c>
    </row>
    <row r="128" spans="1:7" x14ac:dyDescent="0.25">
      <c r="A128" s="63" t="s">
        <v>63</v>
      </c>
      <c r="B128" s="63" t="s">
        <v>40</v>
      </c>
      <c r="C128" s="63" t="s">
        <v>105</v>
      </c>
      <c r="D128" s="63" t="s">
        <v>105</v>
      </c>
      <c r="E128" s="63" t="s">
        <v>105</v>
      </c>
      <c r="F128" s="64" t="str">
        <f t="shared" si="3"/>
        <v>MATCH</v>
      </c>
      <c r="G128" s="64" t="str">
        <f t="shared" si="3"/>
        <v>MATCH</v>
      </c>
    </row>
    <row r="129" spans="1:7" x14ac:dyDescent="0.25">
      <c r="A129" s="63" t="s">
        <v>129</v>
      </c>
      <c r="B129" s="63" t="s">
        <v>4</v>
      </c>
      <c r="C129" s="63" t="s">
        <v>104</v>
      </c>
      <c r="D129" s="63" t="s">
        <v>104</v>
      </c>
      <c r="E129" s="63" t="s">
        <v>104</v>
      </c>
      <c r="F129" s="64" t="str">
        <f t="shared" si="3"/>
        <v>MATCH</v>
      </c>
      <c r="G129" s="64" t="str">
        <f t="shared" si="3"/>
        <v>MATCH</v>
      </c>
    </row>
    <row r="130" spans="1:7" x14ac:dyDescent="0.25">
      <c r="A130" s="63" t="s">
        <v>129</v>
      </c>
      <c r="B130" s="63" t="s">
        <v>5</v>
      </c>
      <c r="C130" s="63" t="s">
        <v>105</v>
      </c>
      <c r="D130" s="63" t="s">
        <v>105</v>
      </c>
      <c r="E130" s="63" t="s">
        <v>105</v>
      </c>
      <c r="F130" s="64" t="str">
        <f t="shared" si="3"/>
        <v>MATCH</v>
      </c>
      <c r="G130" s="64" t="str">
        <f t="shared" si="3"/>
        <v>MATCH</v>
      </c>
    </row>
    <row r="131" spans="1:7" x14ac:dyDescent="0.25">
      <c r="A131" s="63" t="s">
        <v>129</v>
      </c>
      <c r="B131" s="6" t="s">
        <v>171</v>
      </c>
      <c r="C131" s="63" t="s">
        <v>104</v>
      </c>
      <c r="D131" s="63" t="s">
        <v>104</v>
      </c>
      <c r="E131" s="63" t="s">
        <v>104</v>
      </c>
      <c r="F131" s="64" t="str">
        <f t="shared" si="3"/>
        <v>MATCH</v>
      </c>
      <c r="G131" s="64" t="str">
        <f t="shared" si="3"/>
        <v>MATCH</v>
      </c>
    </row>
    <row r="132" spans="1:7" x14ac:dyDescent="0.25">
      <c r="A132" s="63" t="s">
        <v>129</v>
      </c>
      <c r="B132" s="73" t="s">
        <v>172</v>
      </c>
      <c r="C132" s="63" t="s">
        <v>105</v>
      </c>
      <c r="D132" s="63" t="s">
        <v>105</v>
      </c>
      <c r="E132" s="63" t="s">
        <v>105</v>
      </c>
      <c r="F132" s="64" t="str">
        <f t="shared" si="3"/>
        <v>MATCH</v>
      </c>
      <c r="G132" s="64" t="str">
        <f t="shared" si="3"/>
        <v>MATCH</v>
      </c>
    </row>
    <row r="133" spans="1:7" x14ac:dyDescent="0.25">
      <c r="A133" s="63" t="s">
        <v>129</v>
      </c>
      <c r="B133" s="63" t="s">
        <v>17</v>
      </c>
      <c r="C133" s="63" t="s">
        <v>182</v>
      </c>
      <c r="D133" s="63" t="s">
        <v>182</v>
      </c>
      <c r="E133" s="63" t="s">
        <v>182</v>
      </c>
      <c r="F133" s="64" t="str">
        <f t="shared" si="3"/>
        <v>MATCH</v>
      </c>
      <c r="G133" s="64" t="str">
        <f t="shared" si="3"/>
        <v>MATCH</v>
      </c>
    </row>
    <row r="134" spans="1:7" x14ac:dyDescent="0.25">
      <c r="A134" s="63" t="s">
        <v>129</v>
      </c>
      <c r="B134" s="63" t="s">
        <v>24</v>
      </c>
      <c r="C134" s="63" t="s">
        <v>182</v>
      </c>
      <c r="D134" s="63" t="s">
        <v>182</v>
      </c>
      <c r="E134" s="63" t="s">
        <v>182</v>
      </c>
      <c r="F134" s="64" t="str">
        <f t="shared" si="3"/>
        <v>MATCH</v>
      </c>
      <c r="G134" s="64" t="str">
        <f t="shared" si="3"/>
        <v>MATCH</v>
      </c>
    </row>
    <row r="135" spans="1:7" x14ac:dyDescent="0.25">
      <c r="A135" s="63" t="s">
        <v>129</v>
      </c>
      <c r="B135" s="63" t="s">
        <v>25</v>
      </c>
      <c r="C135" s="63" t="s">
        <v>182</v>
      </c>
      <c r="D135" s="63" t="s">
        <v>182</v>
      </c>
      <c r="E135" s="63" t="s">
        <v>182</v>
      </c>
      <c r="F135" s="64" t="str">
        <f t="shared" si="3"/>
        <v>MATCH</v>
      </c>
      <c r="G135" s="64" t="str">
        <f t="shared" si="3"/>
        <v>MATCH</v>
      </c>
    </row>
    <row r="136" spans="1:7" x14ac:dyDescent="0.25">
      <c r="A136" s="63" t="s">
        <v>129</v>
      </c>
      <c r="B136" s="6" t="s">
        <v>138</v>
      </c>
      <c r="C136" s="63" t="s">
        <v>182</v>
      </c>
      <c r="D136" s="63" t="s">
        <v>182</v>
      </c>
      <c r="E136" s="63" t="s">
        <v>182</v>
      </c>
      <c r="F136" s="64" t="str">
        <f t="shared" si="3"/>
        <v>MATCH</v>
      </c>
      <c r="G136" s="64" t="str">
        <f t="shared" si="3"/>
        <v>MATCH</v>
      </c>
    </row>
    <row r="137" spans="1:7" x14ac:dyDescent="0.25">
      <c r="A137" s="63" t="s">
        <v>129</v>
      </c>
      <c r="B137" s="6" t="s">
        <v>178</v>
      </c>
      <c r="C137" s="63" t="s">
        <v>182</v>
      </c>
      <c r="D137" s="63" t="s">
        <v>182</v>
      </c>
      <c r="E137" s="63" t="s">
        <v>182</v>
      </c>
      <c r="F137" s="64" t="str">
        <f t="shared" si="3"/>
        <v>MATCH</v>
      </c>
      <c r="G137" s="64" t="str">
        <f t="shared" si="3"/>
        <v>MATCH</v>
      </c>
    </row>
    <row r="138" spans="1:7" x14ac:dyDescent="0.25">
      <c r="A138" s="63" t="s">
        <v>129</v>
      </c>
      <c r="B138" s="6" t="s">
        <v>179</v>
      </c>
      <c r="C138" s="63" t="s">
        <v>182</v>
      </c>
      <c r="D138" s="63" t="s">
        <v>182</v>
      </c>
      <c r="E138" s="63" t="s">
        <v>182</v>
      </c>
      <c r="F138" s="64" t="str">
        <f t="shared" si="3"/>
        <v>MATCH</v>
      </c>
      <c r="G138" s="64" t="str">
        <f t="shared" si="3"/>
        <v>MATCH</v>
      </c>
    </row>
    <row r="139" spans="1:7" x14ac:dyDescent="0.25">
      <c r="A139" s="63" t="s">
        <v>129</v>
      </c>
      <c r="B139" s="6" t="s">
        <v>180</v>
      </c>
      <c r="C139" s="63" t="s">
        <v>182</v>
      </c>
      <c r="D139" s="63" t="s">
        <v>182</v>
      </c>
      <c r="E139" s="63" t="s">
        <v>182</v>
      </c>
      <c r="F139" s="64" t="str">
        <f t="shared" si="3"/>
        <v>MATCH</v>
      </c>
      <c r="G139" s="64" t="str">
        <f t="shared" si="3"/>
        <v>MATCH</v>
      </c>
    </row>
    <row r="140" spans="1:7" x14ac:dyDescent="0.25">
      <c r="A140" s="63" t="s">
        <v>129</v>
      </c>
      <c r="B140" s="6" t="s">
        <v>181</v>
      </c>
      <c r="C140" s="63" t="s">
        <v>182</v>
      </c>
      <c r="D140" s="63" t="s">
        <v>182</v>
      </c>
      <c r="E140" s="63" t="s">
        <v>182</v>
      </c>
      <c r="F140" s="64" t="str">
        <f t="shared" si="3"/>
        <v>MATCH</v>
      </c>
      <c r="G140" s="64" t="str">
        <f t="shared" si="3"/>
        <v>MATCH</v>
      </c>
    </row>
    <row r="141" spans="1:7" x14ac:dyDescent="0.25">
      <c r="A141" s="63" t="s">
        <v>129</v>
      </c>
      <c r="B141" s="63" t="s">
        <v>39</v>
      </c>
      <c r="C141" s="63" t="s">
        <v>182</v>
      </c>
      <c r="D141" s="63" t="s">
        <v>182</v>
      </c>
      <c r="E141" s="63" t="s">
        <v>182</v>
      </c>
      <c r="F141" s="64" t="str">
        <f t="shared" si="3"/>
        <v>MATCH</v>
      </c>
      <c r="G141" s="64" t="str">
        <f t="shared" si="3"/>
        <v>MATCH</v>
      </c>
    </row>
    <row r="142" spans="1:7" x14ac:dyDescent="0.25">
      <c r="A142" s="63" t="s">
        <v>129</v>
      </c>
      <c r="B142" s="63" t="s">
        <v>40</v>
      </c>
      <c r="C142" s="63" t="s">
        <v>182</v>
      </c>
      <c r="D142" s="63" t="s">
        <v>182</v>
      </c>
      <c r="E142" s="63" t="s">
        <v>182</v>
      </c>
      <c r="F142" s="64" t="str">
        <f t="shared" si="3"/>
        <v>MATCH</v>
      </c>
      <c r="G142" s="64" t="str">
        <f t="shared" si="3"/>
        <v>MATCH</v>
      </c>
    </row>
    <row r="143" spans="1:7" x14ac:dyDescent="0.25">
      <c r="A143" s="63" t="s">
        <v>140</v>
      </c>
      <c r="B143" s="63" t="s">
        <v>4</v>
      </c>
      <c r="C143" s="63" t="s">
        <v>101</v>
      </c>
      <c r="D143" s="63" t="s">
        <v>101</v>
      </c>
      <c r="E143" s="63" t="s">
        <v>101</v>
      </c>
      <c r="F143" s="64" t="str">
        <f t="shared" si="3"/>
        <v>MATCH</v>
      </c>
      <c r="G143" s="64" t="str">
        <f t="shared" si="3"/>
        <v>MATCH</v>
      </c>
    </row>
    <row r="144" spans="1:7" x14ac:dyDescent="0.25">
      <c r="A144" s="63" t="s">
        <v>140</v>
      </c>
      <c r="B144" s="63" t="s">
        <v>5</v>
      </c>
      <c r="C144" s="63" t="s">
        <v>102</v>
      </c>
      <c r="D144" s="63" t="s">
        <v>102</v>
      </c>
      <c r="E144" s="63" t="s">
        <v>102</v>
      </c>
      <c r="F144" s="64" t="str">
        <f t="shared" si="3"/>
        <v>MATCH</v>
      </c>
      <c r="G144" s="64" t="str">
        <f t="shared" si="3"/>
        <v>MATCH</v>
      </c>
    </row>
    <row r="145" spans="1:7" x14ac:dyDescent="0.25">
      <c r="A145" s="63" t="s">
        <v>140</v>
      </c>
      <c r="B145" s="6" t="s">
        <v>171</v>
      </c>
      <c r="C145" s="63" t="s">
        <v>101</v>
      </c>
      <c r="D145" s="63" t="s">
        <v>101</v>
      </c>
      <c r="E145" s="63" t="s">
        <v>101</v>
      </c>
      <c r="F145" s="64" t="str">
        <f t="shared" si="3"/>
        <v>MATCH</v>
      </c>
      <c r="G145" s="64" t="str">
        <f t="shared" si="3"/>
        <v>MATCH</v>
      </c>
    </row>
    <row r="146" spans="1:7" x14ac:dyDescent="0.25">
      <c r="A146" s="63" t="s">
        <v>140</v>
      </c>
      <c r="B146" s="73" t="s">
        <v>172</v>
      </c>
      <c r="C146" s="63" t="s">
        <v>102</v>
      </c>
      <c r="D146" s="63" t="s">
        <v>102</v>
      </c>
      <c r="E146" s="63" t="s">
        <v>102</v>
      </c>
      <c r="F146" s="64" t="str">
        <f t="shared" si="3"/>
        <v>MATCH</v>
      </c>
      <c r="G146" s="64" t="str">
        <f t="shared" si="3"/>
        <v>MATCH</v>
      </c>
    </row>
    <row r="147" spans="1:7" x14ac:dyDescent="0.25">
      <c r="A147" s="63" t="s">
        <v>140</v>
      </c>
      <c r="B147" s="63" t="s">
        <v>17</v>
      </c>
      <c r="C147" s="63" t="s">
        <v>103</v>
      </c>
      <c r="D147" s="63" t="s">
        <v>103</v>
      </c>
      <c r="E147" s="63" t="s">
        <v>103</v>
      </c>
      <c r="F147" s="64" t="str">
        <f t="shared" si="3"/>
        <v>MATCH</v>
      </c>
      <c r="G147" s="64" t="str">
        <f t="shared" si="3"/>
        <v>MATCH</v>
      </c>
    </row>
    <row r="148" spans="1:7" x14ac:dyDescent="0.25">
      <c r="A148" s="63" t="s">
        <v>140</v>
      </c>
      <c r="B148" s="63" t="s">
        <v>24</v>
      </c>
      <c r="C148" s="63" t="s">
        <v>104</v>
      </c>
      <c r="D148" s="63" t="s">
        <v>104</v>
      </c>
      <c r="E148" s="63" t="s">
        <v>104</v>
      </c>
      <c r="F148" s="64" t="str">
        <f t="shared" si="3"/>
        <v>MATCH</v>
      </c>
      <c r="G148" s="64" t="str">
        <f t="shared" si="3"/>
        <v>MATCH</v>
      </c>
    </row>
    <row r="149" spans="1:7" x14ac:dyDescent="0.25">
      <c r="A149" s="63" t="s">
        <v>140</v>
      </c>
      <c r="B149" s="63" t="s">
        <v>25</v>
      </c>
      <c r="C149" s="63" t="s">
        <v>105</v>
      </c>
      <c r="D149" s="63" t="s">
        <v>105</v>
      </c>
      <c r="E149" s="63" t="s">
        <v>105</v>
      </c>
      <c r="F149" s="64" t="str">
        <f t="shared" si="3"/>
        <v>MATCH</v>
      </c>
      <c r="G149" s="64" t="str">
        <f t="shared" si="3"/>
        <v>MATCH</v>
      </c>
    </row>
    <row r="150" spans="1:7" x14ac:dyDescent="0.25">
      <c r="A150" s="63" t="s">
        <v>140</v>
      </c>
      <c r="B150" s="6" t="s">
        <v>138</v>
      </c>
      <c r="C150" s="63" t="s">
        <v>139</v>
      </c>
      <c r="D150" s="63" t="s">
        <v>139</v>
      </c>
      <c r="E150" s="63" t="s">
        <v>139</v>
      </c>
      <c r="F150" s="64" t="str">
        <f t="shared" si="3"/>
        <v>MATCH</v>
      </c>
      <c r="G150" s="64" t="str">
        <f t="shared" si="3"/>
        <v>MATCH</v>
      </c>
    </row>
    <row r="151" spans="1:7" x14ac:dyDescent="0.25">
      <c r="A151" s="63" t="s">
        <v>140</v>
      </c>
      <c r="B151" s="6" t="s">
        <v>178</v>
      </c>
      <c r="C151" s="63" t="s">
        <v>104</v>
      </c>
      <c r="D151" s="63" t="s">
        <v>104</v>
      </c>
      <c r="E151" s="63" t="s">
        <v>104</v>
      </c>
      <c r="F151" s="64" t="str">
        <f t="shared" si="3"/>
        <v>MATCH</v>
      </c>
      <c r="G151" s="64" t="str">
        <f t="shared" si="3"/>
        <v>MATCH</v>
      </c>
    </row>
    <row r="152" spans="1:7" x14ac:dyDescent="0.25">
      <c r="A152" s="63" t="s">
        <v>140</v>
      </c>
      <c r="B152" s="6" t="s">
        <v>179</v>
      </c>
      <c r="C152" s="63" t="s">
        <v>104</v>
      </c>
      <c r="D152" s="63" t="s">
        <v>104</v>
      </c>
      <c r="E152" s="63" t="s">
        <v>104</v>
      </c>
      <c r="F152" s="64" t="str">
        <f t="shared" si="3"/>
        <v>MATCH</v>
      </c>
      <c r="G152" s="64" t="str">
        <f t="shared" si="3"/>
        <v>MATCH</v>
      </c>
    </row>
    <row r="153" spans="1:7" x14ac:dyDescent="0.25">
      <c r="A153" s="63" t="s">
        <v>140</v>
      </c>
      <c r="B153" s="6" t="s">
        <v>180</v>
      </c>
      <c r="C153" s="63" t="s">
        <v>104</v>
      </c>
      <c r="D153" s="63" t="s">
        <v>104</v>
      </c>
      <c r="E153" s="63" t="s">
        <v>104</v>
      </c>
      <c r="F153" s="64" t="str">
        <f t="shared" si="3"/>
        <v>MATCH</v>
      </c>
      <c r="G153" s="64" t="str">
        <f t="shared" si="3"/>
        <v>MATCH</v>
      </c>
    </row>
    <row r="154" spans="1:7" x14ac:dyDescent="0.25">
      <c r="A154" s="63" t="s">
        <v>140</v>
      </c>
      <c r="B154" s="6" t="s">
        <v>181</v>
      </c>
      <c r="C154" s="63" t="s">
        <v>104</v>
      </c>
      <c r="D154" s="63" t="s">
        <v>104</v>
      </c>
      <c r="E154" s="63" t="s">
        <v>104</v>
      </c>
      <c r="F154" s="64" t="str">
        <f t="shared" si="3"/>
        <v>MATCH</v>
      </c>
      <c r="G154" s="64" t="str">
        <f t="shared" si="3"/>
        <v>MATCH</v>
      </c>
    </row>
    <row r="155" spans="1:7" x14ac:dyDescent="0.25">
      <c r="A155" s="63" t="s">
        <v>140</v>
      </c>
      <c r="B155" s="63" t="s">
        <v>39</v>
      </c>
      <c r="C155" s="63" t="s">
        <v>104</v>
      </c>
      <c r="D155" s="63" t="s">
        <v>104</v>
      </c>
      <c r="E155" s="63" t="s">
        <v>104</v>
      </c>
      <c r="F155" s="64" t="str">
        <f t="shared" si="3"/>
        <v>MATCH</v>
      </c>
      <c r="G155" s="64" t="str">
        <f t="shared" si="3"/>
        <v>MATCH</v>
      </c>
    </row>
    <row r="156" spans="1:7" x14ac:dyDescent="0.25">
      <c r="A156" s="63" t="s">
        <v>140</v>
      </c>
      <c r="B156" s="63" t="s">
        <v>40</v>
      </c>
      <c r="C156" s="63" t="s">
        <v>105</v>
      </c>
      <c r="D156" s="63" t="s">
        <v>105</v>
      </c>
      <c r="E156" s="63" t="s">
        <v>105</v>
      </c>
      <c r="F156" s="64" t="str">
        <f t="shared" si="3"/>
        <v>MATCH</v>
      </c>
      <c r="G156" s="64" t="str">
        <f t="shared" si="3"/>
        <v>MATCH</v>
      </c>
    </row>
    <row r="157" spans="1:7" x14ac:dyDescent="0.25">
      <c r="A157" s="63" t="s">
        <v>168</v>
      </c>
      <c r="B157" s="63" t="s">
        <v>4</v>
      </c>
      <c r="C157" s="63" t="s">
        <v>101</v>
      </c>
      <c r="D157" s="63" t="s">
        <v>101</v>
      </c>
      <c r="E157" s="63" t="s">
        <v>101</v>
      </c>
      <c r="F157" s="64" t="str">
        <f t="shared" si="3"/>
        <v>MATCH</v>
      </c>
      <c r="G157" s="64" t="str">
        <f t="shared" si="3"/>
        <v>MATCH</v>
      </c>
    </row>
    <row r="158" spans="1:7" x14ac:dyDescent="0.25">
      <c r="A158" s="63" t="s">
        <v>168</v>
      </c>
      <c r="B158" s="63" t="s">
        <v>5</v>
      </c>
      <c r="C158" s="63" t="s">
        <v>102</v>
      </c>
      <c r="D158" s="63" t="s">
        <v>102</v>
      </c>
      <c r="E158" s="63" t="s">
        <v>102</v>
      </c>
      <c r="F158" s="64" t="str">
        <f t="shared" si="3"/>
        <v>MATCH</v>
      </c>
      <c r="G158" s="64" t="str">
        <f t="shared" si="3"/>
        <v>MATCH</v>
      </c>
    </row>
    <row r="159" spans="1:7" x14ac:dyDescent="0.25">
      <c r="A159" s="63" t="s">
        <v>168</v>
      </c>
      <c r="B159" s="6" t="s">
        <v>171</v>
      </c>
      <c r="C159" s="63" t="s">
        <v>101</v>
      </c>
      <c r="D159" s="63" t="s">
        <v>101</v>
      </c>
      <c r="E159" s="63" t="s">
        <v>101</v>
      </c>
      <c r="F159" s="64" t="str">
        <f t="shared" si="3"/>
        <v>MATCH</v>
      </c>
      <c r="G159" s="64" t="str">
        <f t="shared" si="3"/>
        <v>MATCH</v>
      </c>
    </row>
    <row r="160" spans="1:7" x14ac:dyDescent="0.25">
      <c r="A160" s="63" t="s">
        <v>168</v>
      </c>
      <c r="B160" s="73" t="s">
        <v>172</v>
      </c>
      <c r="C160" s="63" t="s">
        <v>102</v>
      </c>
      <c r="D160" s="63" t="s">
        <v>102</v>
      </c>
      <c r="E160" s="63" t="s">
        <v>102</v>
      </c>
      <c r="F160" s="64" t="str">
        <f t="shared" si="3"/>
        <v>MATCH</v>
      </c>
      <c r="G160" s="64" t="str">
        <f t="shared" si="3"/>
        <v>MATCH</v>
      </c>
    </row>
    <row r="161" spans="1:7" x14ac:dyDescent="0.25">
      <c r="A161" s="63" t="s">
        <v>168</v>
      </c>
      <c r="B161" s="63" t="s">
        <v>17</v>
      </c>
      <c r="C161" s="63" t="s">
        <v>103</v>
      </c>
      <c r="D161" s="63" t="s">
        <v>103</v>
      </c>
      <c r="E161" s="63" t="s">
        <v>103</v>
      </c>
      <c r="F161" s="64" t="str">
        <f t="shared" si="3"/>
        <v>MATCH</v>
      </c>
      <c r="G161" s="64" t="str">
        <f t="shared" si="3"/>
        <v>MATCH</v>
      </c>
    </row>
    <row r="162" spans="1:7" x14ac:dyDescent="0.25">
      <c r="A162" s="63" t="s">
        <v>168</v>
      </c>
      <c r="B162" s="63" t="s">
        <v>24</v>
      </c>
      <c r="C162" s="63" t="s">
        <v>104</v>
      </c>
      <c r="D162" s="63" t="s">
        <v>104</v>
      </c>
      <c r="E162" s="63" t="s">
        <v>104</v>
      </c>
      <c r="F162" s="64" t="str">
        <f t="shared" si="3"/>
        <v>MATCH</v>
      </c>
      <c r="G162" s="64" t="str">
        <f t="shared" si="3"/>
        <v>MATCH</v>
      </c>
    </row>
    <row r="163" spans="1:7" x14ac:dyDescent="0.25">
      <c r="A163" s="63" t="s">
        <v>168</v>
      </c>
      <c r="B163" s="63" t="s">
        <v>25</v>
      </c>
      <c r="C163" s="63" t="s">
        <v>105</v>
      </c>
      <c r="D163" s="63" t="s">
        <v>105</v>
      </c>
      <c r="E163" s="63" t="s">
        <v>105</v>
      </c>
      <c r="F163" s="64" t="str">
        <f t="shared" si="3"/>
        <v>MATCH</v>
      </c>
      <c r="G163" s="64" t="str">
        <f t="shared" si="3"/>
        <v>MATCH</v>
      </c>
    </row>
    <row r="164" spans="1:7" x14ac:dyDescent="0.25">
      <c r="A164" s="63" t="s">
        <v>168</v>
      </c>
      <c r="B164" s="6" t="s">
        <v>138</v>
      </c>
      <c r="C164" s="63" t="s">
        <v>139</v>
      </c>
      <c r="D164" s="63" t="s">
        <v>139</v>
      </c>
      <c r="E164" s="63" t="s">
        <v>139</v>
      </c>
      <c r="F164" s="64" t="str">
        <f t="shared" si="3"/>
        <v>MATCH</v>
      </c>
      <c r="G164" s="64" t="str">
        <f t="shared" si="3"/>
        <v>MATCH</v>
      </c>
    </row>
    <row r="165" spans="1:7" x14ac:dyDescent="0.25">
      <c r="A165" s="63" t="s">
        <v>168</v>
      </c>
      <c r="B165" s="6" t="s">
        <v>178</v>
      </c>
      <c r="C165" s="63" t="s">
        <v>104</v>
      </c>
      <c r="D165" s="63" t="s">
        <v>104</v>
      </c>
      <c r="E165" s="63" t="s">
        <v>104</v>
      </c>
      <c r="F165" s="64" t="str">
        <f t="shared" si="3"/>
        <v>MATCH</v>
      </c>
      <c r="G165" s="64" t="str">
        <f t="shared" si="3"/>
        <v>MATCH</v>
      </c>
    </row>
    <row r="166" spans="1:7" x14ac:dyDescent="0.25">
      <c r="A166" s="63" t="s">
        <v>168</v>
      </c>
      <c r="B166" s="6" t="s">
        <v>179</v>
      </c>
      <c r="C166" s="63" t="s">
        <v>104</v>
      </c>
      <c r="D166" s="63" t="s">
        <v>104</v>
      </c>
      <c r="E166" s="63" t="s">
        <v>104</v>
      </c>
      <c r="F166" s="64" t="str">
        <f t="shared" si="3"/>
        <v>MATCH</v>
      </c>
      <c r="G166" s="64" t="str">
        <f t="shared" si="3"/>
        <v>MATCH</v>
      </c>
    </row>
    <row r="167" spans="1:7" x14ac:dyDescent="0.25">
      <c r="A167" s="63" t="s">
        <v>168</v>
      </c>
      <c r="B167" s="6" t="s">
        <v>180</v>
      </c>
      <c r="C167" s="63" t="s">
        <v>104</v>
      </c>
      <c r="D167" s="63" t="s">
        <v>104</v>
      </c>
      <c r="E167" s="63" t="s">
        <v>104</v>
      </c>
      <c r="F167" s="64" t="str">
        <f t="shared" si="3"/>
        <v>MATCH</v>
      </c>
      <c r="G167" s="64" t="str">
        <f t="shared" si="3"/>
        <v>MATCH</v>
      </c>
    </row>
    <row r="168" spans="1:7" x14ac:dyDescent="0.25">
      <c r="A168" s="63" t="s">
        <v>168</v>
      </c>
      <c r="B168" s="6" t="s">
        <v>181</v>
      </c>
      <c r="C168" s="63" t="s">
        <v>104</v>
      </c>
      <c r="D168" s="63" t="s">
        <v>104</v>
      </c>
      <c r="E168" s="63" t="s">
        <v>104</v>
      </c>
      <c r="F168" s="64" t="str">
        <f t="shared" si="3"/>
        <v>MATCH</v>
      </c>
      <c r="G168" s="64" t="str">
        <f t="shared" si="3"/>
        <v>MATCH</v>
      </c>
    </row>
    <row r="169" spans="1:7" x14ac:dyDescent="0.25">
      <c r="A169" s="63" t="s">
        <v>168</v>
      </c>
      <c r="B169" s="63" t="s">
        <v>39</v>
      </c>
      <c r="C169" s="63" t="s">
        <v>104</v>
      </c>
      <c r="D169" s="63" t="s">
        <v>104</v>
      </c>
      <c r="E169" s="63" t="s">
        <v>104</v>
      </c>
      <c r="F169" s="64" t="str">
        <f t="shared" si="3"/>
        <v>MATCH</v>
      </c>
      <c r="G169" s="64" t="str">
        <f t="shared" si="3"/>
        <v>MATCH</v>
      </c>
    </row>
    <row r="170" spans="1:7" x14ac:dyDescent="0.25">
      <c r="A170" s="63" t="s">
        <v>168</v>
      </c>
      <c r="B170" s="63" t="s">
        <v>40</v>
      </c>
      <c r="C170" s="63" t="s">
        <v>105</v>
      </c>
      <c r="D170" s="63" t="s">
        <v>105</v>
      </c>
      <c r="E170" s="63" t="s">
        <v>105</v>
      </c>
      <c r="F170" s="64" t="str">
        <f t="shared" si="3"/>
        <v>MATCH</v>
      </c>
      <c r="G170" s="64" t="str">
        <f t="shared" si="3"/>
        <v>MATCH</v>
      </c>
    </row>
    <row r="171" spans="1:7" x14ac:dyDescent="0.25">
      <c r="A171" s="63" t="s">
        <v>163</v>
      </c>
      <c r="B171" s="63" t="s">
        <v>4</v>
      </c>
      <c r="C171" s="63" t="s">
        <v>101</v>
      </c>
      <c r="D171" s="63" t="s">
        <v>101</v>
      </c>
      <c r="E171" s="63" t="s">
        <v>101</v>
      </c>
      <c r="F171" s="64" t="str">
        <f t="shared" si="3"/>
        <v>MATCH</v>
      </c>
      <c r="G171" s="64" t="str">
        <f t="shared" si="3"/>
        <v>MATCH</v>
      </c>
    </row>
    <row r="172" spans="1:7" x14ac:dyDescent="0.25">
      <c r="A172" s="63" t="s">
        <v>163</v>
      </c>
      <c r="B172" s="63" t="s">
        <v>5</v>
      </c>
      <c r="C172" s="63" t="s">
        <v>102</v>
      </c>
      <c r="D172" s="63" t="s">
        <v>102</v>
      </c>
      <c r="E172" s="63" t="s">
        <v>102</v>
      </c>
      <c r="F172" s="64" t="str">
        <f t="shared" si="3"/>
        <v>MATCH</v>
      </c>
      <c r="G172" s="64" t="str">
        <f t="shared" si="3"/>
        <v>MATCH</v>
      </c>
    </row>
    <row r="173" spans="1:7" x14ac:dyDescent="0.25">
      <c r="A173" s="63" t="s">
        <v>163</v>
      </c>
      <c r="B173" s="6" t="s">
        <v>171</v>
      </c>
      <c r="C173" s="63" t="s">
        <v>101</v>
      </c>
      <c r="D173" s="63" t="s">
        <v>101</v>
      </c>
      <c r="E173" s="63" t="s">
        <v>101</v>
      </c>
      <c r="F173" s="64" t="str">
        <f t="shared" si="3"/>
        <v>MATCH</v>
      </c>
      <c r="G173" s="64" t="str">
        <f t="shared" si="3"/>
        <v>MATCH</v>
      </c>
    </row>
    <row r="174" spans="1:7" x14ac:dyDescent="0.25">
      <c r="A174" s="63" t="s">
        <v>163</v>
      </c>
      <c r="B174" s="73" t="s">
        <v>172</v>
      </c>
      <c r="C174" s="63" t="s">
        <v>102</v>
      </c>
      <c r="D174" s="63" t="s">
        <v>102</v>
      </c>
      <c r="E174" s="63" t="s">
        <v>102</v>
      </c>
      <c r="F174" s="64" t="str">
        <f t="shared" si="3"/>
        <v>MATCH</v>
      </c>
      <c r="G174" s="64" t="str">
        <f t="shared" si="3"/>
        <v>MATCH</v>
      </c>
    </row>
    <row r="175" spans="1:7" x14ac:dyDescent="0.25">
      <c r="A175" s="63" t="s">
        <v>163</v>
      </c>
      <c r="B175" s="63" t="s">
        <v>17</v>
      </c>
      <c r="C175" s="63" t="s">
        <v>103</v>
      </c>
      <c r="D175" s="63" t="s">
        <v>103</v>
      </c>
      <c r="E175" s="63" t="s">
        <v>103</v>
      </c>
      <c r="F175" s="64" t="str">
        <f t="shared" si="3"/>
        <v>MATCH</v>
      </c>
      <c r="G175" s="64" t="str">
        <f t="shared" si="3"/>
        <v>MATCH</v>
      </c>
    </row>
    <row r="176" spans="1:7" x14ac:dyDescent="0.25">
      <c r="A176" s="63" t="s">
        <v>163</v>
      </c>
      <c r="B176" s="63" t="s">
        <v>24</v>
      </c>
      <c r="C176" s="63" t="s">
        <v>104</v>
      </c>
      <c r="D176" s="63" t="s">
        <v>104</v>
      </c>
      <c r="E176" s="63" t="s">
        <v>104</v>
      </c>
      <c r="F176" s="64" t="str">
        <f t="shared" si="3"/>
        <v>MATCH</v>
      </c>
      <c r="G176" s="64" t="str">
        <f t="shared" si="3"/>
        <v>MATCH</v>
      </c>
    </row>
    <row r="177" spans="1:7" x14ac:dyDescent="0.25">
      <c r="A177" s="63" t="s">
        <v>163</v>
      </c>
      <c r="B177" s="63" t="s">
        <v>25</v>
      </c>
      <c r="C177" s="63" t="s">
        <v>105</v>
      </c>
      <c r="D177" s="63" t="s">
        <v>105</v>
      </c>
      <c r="E177" s="63" t="s">
        <v>105</v>
      </c>
      <c r="F177" s="64" t="str">
        <f t="shared" si="3"/>
        <v>MATCH</v>
      </c>
      <c r="G177" s="64" t="str">
        <f t="shared" si="3"/>
        <v>MATCH</v>
      </c>
    </row>
    <row r="178" spans="1:7" x14ac:dyDescent="0.25">
      <c r="A178" s="63" t="s">
        <v>163</v>
      </c>
      <c r="B178" s="6" t="s">
        <v>138</v>
      </c>
      <c r="C178" s="63" t="s">
        <v>139</v>
      </c>
      <c r="D178" s="63" t="s">
        <v>139</v>
      </c>
      <c r="E178" s="63" t="s">
        <v>139</v>
      </c>
      <c r="F178" s="64" t="str">
        <f t="shared" si="3"/>
        <v>MATCH</v>
      </c>
      <c r="G178" s="64" t="str">
        <f t="shared" si="3"/>
        <v>MATCH</v>
      </c>
    </row>
    <row r="179" spans="1:7" x14ac:dyDescent="0.25">
      <c r="A179" s="63" t="s">
        <v>163</v>
      </c>
      <c r="B179" s="6" t="s">
        <v>178</v>
      </c>
      <c r="C179" s="63" t="s">
        <v>104</v>
      </c>
      <c r="D179" s="63" t="s">
        <v>104</v>
      </c>
      <c r="E179" s="63" t="s">
        <v>104</v>
      </c>
      <c r="F179" s="64" t="str">
        <f t="shared" si="3"/>
        <v>MATCH</v>
      </c>
      <c r="G179" s="64" t="str">
        <f t="shared" si="3"/>
        <v>MATCH</v>
      </c>
    </row>
    <row r="180" spans="1:7" x14ac:dyDescent="0.25">
      <c r="A180" s="63" t="s">
        <v>163</v>
      </c>
      <c r="B180" s="6" t="s">
        <v>179</v>
      </c>
      <c r="C180" s="63" t="s">
        <v>104</v>
      </c>
      <c r="D180" s="63" t="s">
        <v>104</v>
      </c>
      <c r="E180" s="63" t="s">
        <v>104</v>
      </c>
      <c r="F180" s="64" t="str">
        <f t="shared" si="3"/>
        <v>MATCH</v>
      </c>
      <c r="G180" s="64" t="str">
        <f t="shared" si="3"/>
        <v>MATCH</v>
      </c>
    </row>
    <row r="181" spans="1:7" x14ac:dyDescent="0.25">
      <c r="A181" s="63" t="s">
        <v>163</v>
      </c>
      <c r="B181" s="6" t="s">
        <v>180</v>
      </c>
      <c r="C181" s="63" t="s">
        <v>104</v>
      </c>
      <c r="D181" s="63" t="s">
        <v>104</v>
      </c>
      <c r="E181" s="63" t="s">
        <v>104</v>
      </c>
      <c r="F181" s="64" t="str">
        <f t="shared" si="3"/>
        <v>MATCH</v>
      </c>
      <c r="G181" s="64" t="str">
        <f t="shared" si="3"/>
        <v>MATCH</v>
      </c>
    </row>
    <row r="182" spans="1:7" x14ac:dyDescent="0.25">
      <c r="A182" s="63" t="s">
        <v>163</v>
      </c>
      <c r="B182" s="6" t="s">
        <v>181</v>
      </c>
      <c r="C182" s="63" t="s">
        <v>104</v>
      </c>
      <c r="D182" s="63" t="s">
        <v>104</v>
      </c>
      <c r="E182" s="63" t="s">
        <v>104</v>
      </c>
      <c r="F182" s="64" t="str">
        <f t="shared" si="3"/>
        <v>MATCH</v>
      </c>
      <c r="G182" s="64" t="str">
        <f t="shared" si="3"/>
        <v>MATCH</v>
      </c>
    </row>
    <row r="183" spans="1:7" x14ac:dyDescent="0.25">
      <c r="A183" s="63" t="s">
        <v>163</v>
      </c>
      <c r="B183" s="63" t="s">
        <v>39</v>
      </c>
      <c r="C183" s="63" t="s">
        <v>104</v>
      </c>
      <c r="D183" s="63" t="s">
        <v>104</v>
      </c>
      <c r="E183" s="63" t="s">
        <v>104</v>
      </c>
      <c r="F183" s="64" t="str">
        <f t="shared" si="3"/>
        <v>MATCH</v>
      </c>
      <c r="G183" s="64" t="str">
        <f t="shared" si="3"/>
        <v>MATCH</v>
      </c>
    </row>
    <row r="184" spans="1:7" x14ac:dyDescent="0.25">
      <c r="A184" s="63" t="s">
        <v>163</v>
      </c>
      <c r="B184" s="63" t="s">
        <v>40</v>
      </c>
      <c r="C184" s="63" t="s">
        <v>105</v>
      </c>
      <c r="D184" s="63" t="s">
        <v>105</v>
      </c>
      <c r="E184" s="63" t="s">
        <v>105</v>
      </c>
      <c r="F184" s="64" t="str">
        <f t="shared" ref="F184:G207" si="4">+IF(C184=D184,"MATCH","MISMATCH")</f>
        <v>MATCH</v>
      </c>
      <c r="G184" s="64" t="str">
        <f t="shared" si="4"/>
        <v>MATCH</v>
      </c>
    </row>
    <row r="185" spans="1:7" x14ac:dyDescent="0.25">
      <c r="A185" s="63" t="s">
        <v>170</v>
      </c>
      <c r="B185" s="63" t="s">
        <v>4</v>
      </c>
      <c r="C185" s="63" t="s">
        <v>182</v>
      </c>
      <c r="D185" s="63" t="s">
        <v>182</v>
      </c>
      <c r="E185" s="63" t="s">
        <v>182</v>
      </c>
      <c r="F185" s="64" t="str">
        <f t="shared" si="4"/>
        <v>MATCH</v>
      </c>
      <c r="G185" s="64" t="str">
        <f t="shared" si="4"/>
        <v>MATCH</v>
      </c>
    </row>
    <row r="186" spans="1:7" x14ac:dyDescent="0.25">
      <c r="A186" s="63" t="s">
        <v>170</v>
      </c>
      <c r="B186" s="63" t="s">
        <v>5</v>
      </c>
      <c r="C186" s="63" t="s">
        <v>182</v>
      </c>
      <c r="D186" s="63" t="s">
        <v>182</v>
      </c>
      <c r="E186" s="63" t="s">
        <v>182</v>
      </c>
      <c r="F186" s="64" t="str">
        <f t="shared" si="4"/>
        <v>MATCH</v>
      </c>
      <c r="G186" s="64" t="str">
        <f t="shared" si="4"/>
        <v>MATCH</v>
      </c>
    </row>
    <row r="187" spans="1:7" x14ac:dyDescent="0.25">
      <c r="A187" s="63" t="s">
        <v>170</v>
      </c>
      <c r="B187" s="6" t="s">
        <v>171</v>
      </c>
      <c r="C187" s="63" t="s">
        <v>182</v>
      </c>
      <c r="D187" s="63" t="s">
        <v>182</v>
      </c>
      <c r="E187" s="63" t="s">
        <v>182</v>
      </c>
      <c r="F187" s="64" t="str">
        <f t="shared" si="4"/>
        <v>MATCH</v>
      </c>
      <c r="G187" s="64" t="str">
        <f t="shared" si="4"/>
        <v>MATCH</v>
      </c>
    </row>
    <row r="188" spans="1:7" x14ac:dyDescent="0.25">
      <c r="A188" s="63" t="s">
        <v>170</v>
      </c>
      <c r="B188" s="73" t="s">
        <v>172</v>
      </c>
      <c r="C188" s="63" t="s">
        <v>182</v>
      </c>
      <c r="D188" s="63" t="s">
        <v>182</v>
      </c>
      <c r="E188" s="63" t="s">
        <v>182</v>
      </c>
      <c r="F188" s="64" t="str">
        <f t="shared" si="4"/>
        <v>MATCH</v>
      </c>
      <c r="G188" s="64" t="str">
        <f t="shared" si="4"/>
        <v>MATCH</v>
      </c>
    </row>
    <row r="189" spans="1:7" x14ac:dyDescent="0.25">
      <c r="A189" s="63" t="s">
        <v>170</v>
      </c>
      <c r="B189" s="63" t="s">
        <v>17</v>
      </c>
      <c r="C189" s="63" t="s">
        <v>182</v>
      </c>
      <c r="D189" s="63" t="s">
        <v>182</v>
      </c>
      <c r="E189" s="63" t="s">
        <v>182</v>
      </c>
      <c r="F189" s="64" t="str">
        <f t="shared" si="4"/>
        <v>MATCH</v>
      </c>
      <c r="G189" s="64" t="str">
        <f t="shared" si="4"/>
        <v>MATCH</v>
      </c>
    </row>
    <row r="190" spans="1:7" x14ac:dyDescent="0.25">
      <c r="A190" s="63" t="s">
        <v>170</v>
      </c>
      <c r="B190" s="63" t="s">
        <v>24</v>
      </c>
      <c r="C190" s="63" t="s">
        <v>182</v>
      </c>
      <c r="D190" s="63" t="s">
        <v>182</v>
      </c>
      <c r="E190" s="63" t="s">
        <v>182</v>
      </c>
      <c r="F190" s="64" t="str">
        <f t="shared" si="4"/>
        <v>MATCH</v>
      </c>
      <c r="G190" s="64" t="str">
        <f t="shared" si="4"/>
        <v>MATCH</v>
      </c>
    </row>
    <row r="191" spans="1:7" x14ac:dyDescent="0.25">
      <c r="A191" s="63" t="s">
        <v>170</v>
      </c>
      <c r="B191" s="63" t="s">
        <v>25</v>
      </c>
      <c r="C191" s="63" t="s">
        <v>182</v>
      </c>
      <c r="D191" s="63" t="s">
        <v>182</v>
      </c>
      <c r="E191" s="63" t="s">
        <v>182</v>
      </c>
      <c r="F191" s="64" t="str">
        <f t="shared" si="4"/>
        <v>MATCH</v>
      </c>
      <c r="G191" s="64" t="str">
        <f t="shared" si="4"/>
        <v>MATCH</v>
      </c>
    </row>
    <row r="192" spans="1:7" x14ac:dyDescent="0.25">
      <c r="A192" s="63" t="s">
        <v>170</v>
      </c>
      <c r="B192" s="6" t="s">
        <v>138</v>
      </c>
      <c r="C192" s="63" t="s">
        <v>182</v>
      </c>
      <c r="D192" s="63" t="s">
        <v>182</v>
      </c>
      <c r="E192" s="63" t="s">
        <v>182</v>
      </c>
      <c r="F192" s="64" t="str">
        <f t="shared" si="4"/>
        <v>MATCH</v>
      </c>
      <c r="G192" s="64" t="str">
        <f t="shared" si="4"/>
        <v>MATCH</v>
      </c>
    </row>
    <row r="193" spans="1:7" x14ac:dyDescent="0.25">
      <c r="A193" s="63" t="s">
        <v>170</v>
      </c>
      <c r="B193" s="6" t="s">
        <v>178</v>
      </c>
      <c r="C193" s="63" t="s">
        <v>182</v>
      </c>
      <c r="D193" s="63" t="s">
        <v>182</v>
      </c>
      <c r="E193" s="63" t="s">
        <v>182</v>
      </c>
      <c r="F193" s="64" t="str">
        <f t="shared" si="4"/>
        <v>MATCH</v>
      </c>
      <c r="G193" s="64" t="str">
        <f t="shared" si="4"/>
        <v>MATCH</v>
      </c>
    </row>
    <row r="194" spans="1:7" x14ac:dyDescent="0.25">
      <c r="A194" s="63" t="s">
        <v>170</v>
      </c>
      <c r="B194" s="6" t="s">
        <v>179</v>
      </c>
      <c r="C194" s="63" t="s">
        <v>182</v>
      </c>
      <c r="D194" s="63" t="s">
        <v>182</v>
      </c>
      <c r="E194" s="63" t="s">
        <v>182</v>
      </c>
      <c r="F194" s="64" t="str">
        <f t="shared" si="4"/>
        <v>MATCH</v>
      </c>
      <c r="G194" s="64" t="str">
        <f t="shared" si="4"/>
        <v>MATCH</v>
      </c>
    </row>
    <row r="195" spans="1:7" x14ac:dyDescent="0.25">
      <c r="A195" s="63" t="s">
        <v>170</v>
      </c>
      <c r="B195" s="6" t="s">
        <v>180</v>
      </c>
      <c r="C195" s="63" t="s">
        <v>182</v>
      </c>
      <c r="D195" s="63" t="s">
        <v>182</v>
      </c>
      <c r="E195" s="63" t="s">
        <v>182</v>
      </c>
      <c r="F195" s="64" t="str">
        <f t="shared" si="4"/>
        <v>MATCH</v>
      </c>
      <c r="G195" s="64" t="str">
        <f t="shared" si="4"/>
        <v>MATCH</v>
      </c>
    </row>
    <row r="196" spans="1:7" x14ac:dyDescent="0.25">
      <c r="A196" s="63" t="s">
        <v>170</v>
      </c>
      <c r="B196" s="6" t="s">
        <v>181</v>
      </c>
      <c r="C196" s="63" t="s">
        <v>182</v>
      </c>
      <c r="D196" s="63" t="s">
        <v>182</v>
      </c>
      <c r="E196" s="63" t="s">
        <v>182</v>
      </c>
      <c r="F196" s="64" t="str">
        <f t="shared" si="4"/>
        <v>MATCH</v>
      </c>
      <c r="G196" s="64" t="str">
        <f t="shared" si="4"/>
        <v>MATCH</v>
      </c>
    </row>
    <row r="197" spans="1:7" x14ac:dyDescent="0.25">
      <c r="A197" s="63" t="s">
        <v>170</v>
      </c>
      <c r="B197" s="63" t="s">
        <v>39</v>
      </c>
      <c r="C197" s="63" t="s">
        <v>182</v>
      </c>
      <c r="D197" s="63" t="s">
        <v>182</v>
      </c>
      <c r="E197" s="63" t="s">
        <v>182</v>
      </c>
      <c r="F197" s="64" t="str">
        <f t="shared" si="4"/>
        <v>MATCH</v>
      </c>
      <c r="G197" s="64" t="str">
        <f t="shared" si="4"/>
        <v>MATCH</v>
      </c>
    </row>
    <row r="198" spans="1:7" x14ac:dyDescent="0.25">
      <c r="A198" s="63" t="s">
        <v>170</v>
      </c>
      <c r="B198" s="63" t="s">
        <v>40</v>
      </c>
      <c r="C198" s="63" t="s">
        <v>182</v>
      </c>
      <c r="D198" s="63" t="s">
        <v>182</v>
      </c>
      <c r="E198" s="63" t="s">
        <v>182</v>
      </c>
      <c r="F198" s="64" t="str">
        <f t="shared" si="4"/>
        <v>MATCH</v>
      </c>
      <c r="G198" s="64" t="str">
        <f t="shared" si="4"/>
        <v>MATCH</v>
      </c>
    </row>
    <row r="199" spans="1:7" x14ac:dyDescent="0.25">
      <c r="A199" s="63" t="s">
        <v>165</v>
      </c>
      <c r="B199" s="63" t="s">
        <v>4</v>
      </c>
      <c r="C199" s="63" t="s">
        <v>182</v>
      </c>
      <c r="D199" s="63" t="s">
        <v>182</v>
      </c>
      <c r="E199" s="63" t="s">
        <v>182</v>
      </c>
      <c r="F199" s="64" t="str">
        <f t="shared" si="4"/>
        <v>MATCH</v>
      </c>
      <c r="G199" s="64" t="str">
        <f t="shared" si="4"/>
        <v>MATCH</v>
      </c>
    </row>
    <row r="200" spans="1:7" x14ac:dyDescent="0.25">
      <c r="A200" s="63" t="s">
        <v>165</v>
      </c>
      <c r="B200" s="63" t="s">
        <v>5</v>
      </c>
      <c r="C200" s="63" t="s">
        <v>182</v>
      </c>
      <c r="D200" s="63" t="s">
        <v>182</v>
      </c>
      <c r="E200" s="63" t="s">
        <v>182</v>
      </c>
      <c r="F200" s="64" t="str">
        <f t="shared" si="4"/>
        <v>MATCH</v>
      </c>
      <c r="G200" s="64" t="str">
        <f t="shared" si="4"/>
        <v>MATCH</v>
      </c>
    </row>
    <row r="201" spans="1:7" x14ac:dyDescent="0.25">
      <c r="A201" s="63" t="s">
        <v>165</v>
      </c>
      <c r="B201" s="6" t="s">
        <v>171</v>
      </c>
      <c r="C201" s="63" t="s">
        <v>182</v>
      </c>
      <c r="D201" s="63" t="s">
        <v>182</v>
      </c>
      <c r="E201" s="63" t="s">
        <v>182</v>
      </c>
      <c r="F201" s="64" t="str">
        <f t="shared" si="4"/>
        <v>MATCH</v>
      </c>
      <c r="G201" s="64" t="str">
        <f t="shared" si="4"/>
        <v>MATCH</v>
      </c>
    </row>
    <row r="202" spans="1:7" x14ac:dyDescent="0.25">
      <c r="A202" s="63" t="s">
        <v>165</v>
      </c>
      <c r="B202" s="73" t="s">
        <v>172</v>
      </c>
      <c r="C202" s="63" t="s">
        <v>182</v>
      </c>
      <c r="D202" s="63" t="s">
        <v>182</v>
      </c>
      <c r="E202" s="63" t="s">
        <v>182</v>
      </c>
      <c r="F202" s="64" t="str">
        <f t="shared" si="4"/>
        <v>MATCH</v>
      </c>
      <c r="G202" s="64" t="str">
        <f t="shared" si="4"/>
        <v>MATCH</v>
      </c>
    </row>
    <row r="203" spans="1:7" x14ac:dyDescent="0.25">
      <c r="A203" s="63" t="s">
        <v>165</v>
      </c>
      <c r="B203" s="63" t="s">
        <v>17</v>
      </c>
      <c r="C203" s="63" t="s">
        <v>182</v>
      </c>
      <c r="D203" s="63" t="s">
        <v>182</v>
      </c>
      <c r="E203" s="63" t="s">
        <v>182</v>
      </c>
      <c r="F203" s="64" t="str">
        <f t="shared" si="4"/>
        <v>MATCH</v>
      </c>
      <c r="G203" s="64" t="str">
        <f t="shared" si="4"/>
        <v>MATCH</v>
      </c>
    </row>
    <row r="204" spans="1:7" x14ac:dyDescent="0.25">
      <c r="A204" s="63" t="s">
        <v>165</v>
      </c>
      <c r="B204" s="63" t="s">
        <v>24</v>
      </c>
      <c r="C204" s="63" t="s">
        <v>182</v>
      </c>
      <c r="D204" s="63" t="s">
        <v>182</v>
      </c>
      <c r="E204" s="63" t="s">
        <v>182</v>
      </c>
      <c r="F204" s="64" t="str">
        <f t="shared" si="4"/>
        <v>MATCH</v>
      </c>
      <c r="G204" s="64" t="str">
        <f t="shared" si="4"/>
        <v>MATCH</v>
      </c>
    </row>
    <row r="205" spans="1:7" x14ac:dyDescent="0.25">
      <c r="A205" s="63" t="s">
        <v>165</v>
      </c>
      <c r="B205" s="63" t="s">
        <v>25</v>
      </c>
      <c r="C205" s="63" t="s">
        <v>182</v>
      </c>
      <c r="D205" s="63" t="s">
        <v>182</v>
      </c>
      <c r="E205" s="63" t="s">
        <v>182</v>
      </c>
      <c r="F205" s="64" t="str">
        <f t="shared" si="4"/>
        <v>MATCH</v>
      </c>
      <c r="G205" s="64" t="str">
        <f t="shared" si="4"/>
        <v>MATCH</v>
      </c>
    </row>
    <row r="206" spans="1:7" x14ac:dyDescent="0.25">
      <c r="A206" s="63" t="s">
        <v>165</v>
      </c>
      <c r="B206" s="6" t="s">
        <v>138</v>
      </c>
      <c r="C206" s="63" t="s">
        <v>182</v>
      </c>
      <c r="D206" s="63" t="s">
        <v>182</v>
      </c>
      <c r="E206" s="63" t="s">
        <v>182</v>
      </c>
      <c r="F206" s="64" t="str">
        <f t="shared" si="4"/>
        <v>MATCH</v>
      </c>
      <c r="G206" s="64" t="str">
        <f t="shared" si="4"/>
        <v>MATCH</v>
      </c>
    </row>
    <row r="207" spans="1:7" x14ac:dyDescent="0.25">
      <c r="A207" s="63" t="s">
        <v>165</v>
      </c>
      <c r="B207" s="6" t="s">
        <v>178</v>
      </c>
      <c r="C207" s="63" t="s">
        <v>182</v>
      </c>
      <c r="D207" s="63" t="s">
        <v>182</v>
      </c>
      <c r="E207" s="63" t="s">
        <v>182</v>
      </c>
      <c r="F207" s="64" t="str">
        <f t="shared" si="4"/>
        <v>MATCH</v>
      </c>
      <c r="G207" s="64" t="str">
        <f t="shared" si="4"/>
        <v>MATCH</v>
      </c>
    </row>
    <row r="208" spans="1:7" x14ac:dyDescent="0.25">
      <c r="A208" s="63" t="s">
        <v>165</v>
      </c>
      <c r="B208" s="6" t="s">
        <v>179</v>
      </c>
      <c r="C208" s="63" t="s">
        <v>182</v>
      </c>
      <c r="D208" s="63" t="s">
        <v>182</v>
      </c>
      <c r="E208" s="63" t="s">
        <v>182</v>
      </c>
      <c r="F208" s="64" t="str">
        <f t="shared" ref="F208:G223" si="5">+IF(C208=D208,"MATCH","MISMATCH")</f>
        <v>MATCH</v>
      </c>
      <c r="G208" s="64" t="str">
        <f t="shared" si="5"/>
        <v>MATCH</v>
      </c>
    </row>
    <row r="209" spans="1:7" x14ac:dyDescent="0.25">
      <c r="A209" s="63" t="s">
        <v>165</v>
      </c>
      <c r="B209" s="6" t="s">
        <v>180</v>
      </c>
      <c r="C209" s="63" t="s">
        <v>182</v>
      </c>
      <c r="D209" s="63" t="s">
        <v>182</v>
      </c>
      <c r="E209" s="63" t="s">
        <v>182</v>
      </c>
      <c r="F209" s="64" t="str">
        <f t="shared" si="5"/>
        <v>MATCH</v>
      </c>
      <c r="G209" s="64" t="str">
        <f t="shared" si="5"/>
        <v>MATCH</v>
      </c>
    </row>
    <row r="210" spans="1:7" x14ac:dyDescent="0.25">
      <c r="A210" s="63" t="s">
        <v>165</v>
      </c>
      <c r="B210" s="6" t="s">
        <v>181</v>
      </c>
      <c r="C210" s="63" t="s">
        <v>182</v>
      </c>
      <c r="D210" s="63" t="s">
        <v>182</v>
      </c>
      <c r="E210" s="63" t="s">
        <v>182</v>
      </c>
      <c r="F210" s="64" t="str">
        <f t="shared" si="5"/>
        <v>MATCH</v>
      </c>
      <c r="G210" s="64" t="str">
        <f t="shared" si="5"/>
        <v>MATCH</v>
      </c>
    </row>
    <row r="211" spans="1:7" x14ac:dyDescent="0.25">
      <c r="A211" s="63" t="s">
        <v>165</v>
      </c>
      <c r="B211" s="63" t="s">
        <v>39</v>
      </c>
      <c r="C211" s="63" t="s">
        <v>182</v>
      </c>
      <c r="D211" s="63" t="s">
        <v>182</v>
      </c>
      <c r="E211" s="63" t="s">
        <v>182</v>
      </c>
      <c r="F211" s="64" t="str">
        <f t="shared" si="5"/>
        <v>MATCH</v>
      </c>
      <c r="G211" s="64" t="str">
        <f t="shared" si="5"/>
        <v>MATCH</v>
      </c>
    </row>
    <row r="212" spans="1:7" x14ac:dyDescent="0.25">
      <c r="A212" s="63" t="s">
        <v>165</v>
      </c>
      <c r="B212" s="63" t="s">
        <v>40</v>
      </c>
      <c r="C212" s="63" t="s">
        <v>182</v>
      </c>
      <c r="D212" s="63" t="s">
        <v>182</v>
      </c>
      <c r="E212" s="63" t="s">
        <v>182</v>
      </c>
      <c r="F212" s="64" t="str">
        <f t="shared" si="5"/>
        <v>MATCH</v>
      </c>
      <c r="G212" s="64" t="str">
        <f t="shared" si="5"/>
        <v>MATCH</v>
      </c>
    </row>
    <row r="213" spans="1:7" x14ac:dyDescent="0.25">
      <c r="A213" s="63" t="s">
        <v>222</v>
      </c>
      <c r="B213" s="63" t="s">
        <v>4</v>
      </c>
      <c r="C213" s="63" t="s">
        <v>101</v>
      </c>
      <c r="D213" s="63" t="s">
        <v>101</v>
      </c>
      <c r="E213" s="63" t="s">
        <v>101</v>
      </c>
      <c r="F213" s="64" t="str">
        <f t="shared" si="5"/>
        <v>MATCH</v>
      </c>
      <c r="G213" s="64" t="str">
        <f t="shared" si="5"/>
        <v>MATCH</v>
      </c>
    </row>
    <row r="214" spans="1:7" x14ac:dyDescent="0.25">
      <c r="A214" s="63" t="s">
        <v>222</v>
      </c>
      <c r="B214" s="63" t="s">
        <v>5</v>
      </c>
      <c r="C214" s="63" t="s">
        <v>102</v>
      </c>
      <c r="D214" s="63" t="s">
        <v>102</v>
      </c>
      <c r="E214" s="63" t="s">
        <v>102</v>
      </c>
      <c r="F214" s="64" t="str">
        <f t="shared" si="5"/>
        <v>MATCH</v>
      </c>
      <c r="G214" s="64" t="str">
        <f t="shared" si="5"/>
        <v>MATCH</v>
      </c>
    </row>
    <row r="215" spans="1:7" x14ac:dyDescent="0.25">
      <c r="A215" s="63" t="s">
        <v>222</v>
      </c>
      <c r="B215" s="6" t="s">
        <v>171</v>
      </c>
      <c r="C215" s="63" t="s">
        <v>101</v>
      </c>
      <c r="D215" s="63" t="s">
        <v>101</v>
      </c>
      <c r="E215" s="63" t="s">
        <v>101</v>
      </c>
      <c r="F215" s="64" t="str">
        <f t="shared" si="5"/>
        <v>MATCH</v>
      </c>
      <c r="G215" s="64" t="str">
        <f t="shared" si="5"/>
        <v>MATCH</v>
      </c>
    </row>
    <row r="216" spans="1:7" x14ac:dyDescent="0.25">
      <c r="A216" s="63" t="s">
        <v>222</v>
      </c>
      <c r="B216" s="73" t="s">
        <v>172</v>
      </c>
      <c r="C216" s="63" t="s">
        <v>102</v>
      </c>
      <c r="D216" s="63" t="s">
        <v>102</v>
      </c>
      <c r="E216" s="63" t="s">
        <v>102</v>
      </c>
      <c r="F216" s="64" t="str">
        <f t="shared" si="5"/>
        <v>MATCH</v>
      </c>
      <c r="G216" s="64" t="str">
        <f t="shared" si="5"/>
        <v>MATCH</v>
      </c>
    </row>
    <row r="217" spans="1:7" x14ac:dyDescent="0.25">
      <c r="A217" s="63" t="s">
        <v>222</v>
      </c>
      <c r="B217" s="63" t="s">
        <v>17</v>
      </c>
      <c r="C217" s="63" t="s">
        <v>103</v>
      </c>
      <c r="D217" s="63" t="s">
        <v>103</v>
      </c>
      <c r="E217" s="63" t="s">
        <v>103</v>
      </c>
      <c r="F217" s="64" t="str">
        <f t="shared" si="5"/>
        <v>MATCH</v>
      </c>
      <c r="G217" s="64" t="str">
        <f t="shared" si="5"/>
        <v>MATCH</v>
      </c>
    </row>
    <row r="218" spans="1:7" x14ac:dyDescent="0.25">
      <c r="A218" s="63" t="s">
        <v>222</v>
      </c>
      <c r="B218" s="63" t="s">
        <v>24</v>
      </c>
      <c r="C218" s="63" t="s">
        <v>104</v>
      </c>
      <c r="D218" s="63" t="s">
        <v>104</v>
      </c>
      <c r="E218" s="63" t="s">
        <v>104</v>
      </c>
      <c r="F218" s="64" t="str">
        <f t="shared" si="5"/>
        <v>MATCH</v>
      </c>
      <c r="G218" s="64" t="str">
        <f t="shared" si="5"/>
        <v>MATCH</v>
      </c>
    </row>
    <row r="219" spans="1:7" x14ac:dyDescent="0.25">
      <c r="A219" s="63" t="s">
        <v>222</v>
      </c>
      <c r="B219" s="63" t="s">
        <v>25</v>
      </c>
      <c r="C219" s="63" t="s">
        <v>105</v>
      </c>
      <c r="D219" s="63" t="s">
        <v>105</v>
      </c>
      <c r="E219" s="63" t="s">
        <v>105</v>
      </c>
      <c r="F219" s="64" t="str">
        <f t="shared" si="5"/>
        <v>MATCH</v>
      </c>
      <c r="G219" s="64" t="str">
        <f t="shared" si="5"/>
        <v>MATCH</v>
      </c>
    </row>
    <row r="220" spans="1:7" x14ac:dyDescent="0.25">
      <c r="A220" s="63" t="s">
        <v>222</v>
      </c>
      <c r="B220" s="6" t="s">
        <v>138</v>
      </c>
      <c r="C220" s="63" t="s">
        <v>139</v>
      </c>
      <c r="D220" s="63" t="s">
        <v>139</v>
      </c>
      <c r="E220" s="63" t="s">
        <v>139</v>
      </c>
      <c r="F220" s="64" t="str">
        <f t="shared" si="5"/>
        <v>MATCH</v>
      </c>
      <c r="G220" s="64" t="str">
        <f t="shared" si="5"/>
        <v>MATCH</v>
      </c>
    </row>
    <row r="221" spans="1:7" x14ac:dyDescent="0.25">
      <c r="A221" s="63" t="s">
        <v>222</v>
      </c>
      <c r="B221" s="6" t="s">
        <v>178</v>
      </c>
      <c r="C221" s="63" t="s">
        <v>104</v>
      </c>
      <c r="D221" s="63" t="s">
        <v>104</v>
      </c>
      <c r="E221" s="63" t="s">
        <v>104</v>
      </c>
      <c r="F221" s="64" t="str">
        <f t="shared" si="5"/>
        <v>MATCH</v>
      </c>
      <c r="G221" s="64" t="str">
        <f t="shared" si="5"/>
        <v>MATCH</v>
      </c>
    </row>
    <row r="222" spans="1:7" x14ac:dyDescent="0.25">
      <c r="A222" s="63" t="s">
        <v>222</v>
      </c>
      <c r="B222" s="6" t="s">
        <v>179</v>
      </c>
      <c r="C222" s="63" t="s">
        <v>104</v>
      </c>
      <c r="D222" s="63" t="s">
        <v>104</v>
      </c>
      <c r="E222" s="63" t="s">
        <v>104</v>
      </c>
      <c r="F222" s="64" t="str">
        <f t="shared" si="5"/>
        <v>MATCH</v>
      </c>
      <c r="G222" s="64" t="str">
        <f t="shared" si="5"/>
        <v>MATCH</v>
      </c>
    </row>
    <row r="223" spans="1:7" x14ac:dyDescent="0.25">
      <c r="A223" s="63" t="s">
        <v>222</v>
      </c>
      <c r="B223" s="6" t="s">
        <v>180</v>
      </c>
      <c r="C223" s="63" t="s">
        <v>104</v>
      </c>
      <c r="D223" s="63" t="s">
        <v>104</v>
      </c>
      <c r="E223" s="63" t="s">
        <v>104</v>
      </c>
      <c r="F223" s="64" t="str">
        <f t="shared" si="5"/>
        <v>MATCH</v>
      </c>
      <c r="G223" s="64" t="str">
        <f t="shared" si="5"/>
        <v>MATCH</v>
      </c>
    </row>
    <row r="224" spans="1:7" x14ac:dyDescent="0.25">
      <c r="A224" s="63" t="s">
        <v>222</v>
      </c>
      <c r="B224" s="6" t="s">
        <v>181</v>
      </c>
      <c r="C224" s="63" t="s">
        <v>104</v>
      </c>
      <c r="D224" s="63" t="s">
        <v>104</v>
      </c>
      <c r="E224" s="63" t="s">
        <v>104</v>
      </c>
      <c r="F224" s="64" t="str">
        <f t="shared" ref="F224:F226" si="6">+IF(C224=D224,"MATCH","MISMATCH")</f>
        <v>MATCH</v>
      </c>
      <c r="G224" s="64" t="str">
        <f t="shared" ref="G224:G226" si="7">+IF(D224=E224,"MATCH","MISMATCH")</f>
        <v>MATCH</v>
      </c>
    </row>
    <row r="225" spans="1:7" x14ac:dyDescent="0.25">
      <c r="A225" s="63" t="s">
        <v>222</v>
      </c>
      <c r="B225" s="63" t="s">
        <v>39</v>
      </c>
      <c r="C225" s="63" t="s">
        <v>104</v>
      </c>
      <c r="D225" s="63" t="s">
        <v>104</v>
      </c>
      <c r="E225" s="63" t="s">
        <v>104</v>
      </c>
      <c r="F225" s="64" t="str">
        <f t="shared" si="6"/>
        <v>MATCH</v>
      </c>
      <c r="G225" s="64" t="str">
        <f t="shared" si="7"/>
        <v>MATCH</v>
      </c>
    </row>
    <row r="226" spans="1:7" x14ac:dyDescent="0.25">
      <c r="A226" s="63" t="s">
        <v>222</v>
      </c>
      <c r="B226" s="63" t="s">
        <v>40</v>
      </c>
      <c r="C226" s="63" t="s">
        <v>105</v>
      </c>
      <c r="D226" s="63" t="s">
        <v>105</v>
      </c>
      <c r="E226" s="63" t="s">
        <v>105</v>
      </c>
      <c r="F226" s="64" t="str">
        <f t="shared" si="6"/>
        <v>MATCH</v>
      </c>
      <c r="G226" s="64" t="str">
        <f t="shared" si="7"/>
        <v>MATCH</v>
      </c>
    </row>
  </sheetData>
  <autoFilter ref="A2:H106" xr:uid="{00000000-0009-0000-0000-000004000000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24</vt:i4>
      </vt:variant>
    </vt:vector>
  </HeadingPairs>
  <TitlesOfParts>
    <vt:vector size="29" baseType="lpstr">
      <vt:lpstr>Invoice</vt:lpstr>
      <vt:lpstr>Details</vt:lpstr>
      <vt:lpstr>RIL AR</vt:lpstr>
      <vt:lpstr>Criteria</vt:lpstr>
      <vt:lpstr>GL Coding Chart</vt:lpstr>
      <vt:lpstr>CriteriaAcc</vt:lpstr>
      <vt:lpstr>CriteriaAcq</vt:lpstr>
      <vt:lpstr>CriteriaHUP</vt:lpstr>
      <vt:lpstr>CriteriaRDDAccAcc</vt:lpstr>
      <vt:lpstr>CriteriaRDDAccHdwOnly</vt:lpstr>
      <vt:lpstr>CriteriaRDDAccReturn</vt:lpstr>
      <vt:lpstr>CriteriaRDDAcqAcc</vt:lpstr>
      <vt:lpstr>CriteriaRDDAcqHdwOnly</vt:lpstr>
      <vt:lpstr>CriteriaRDDHUPAcc</vt:lpstr>
      <vt:lpstr>CriteriaRDDHUPHdwOnly</vt:lpstr>
      <vt:lpstr>CriteriaRDDReturnAcc</vt:lpstr>
      <vt:lpstr>CriteriaRDDReturnHdwOnly</vt:lpstr>
      <vt:lpstr>CriteriaRDSAccAcc</vt:lpstr>
      <vt:lpstr>CriteriaRDSAcqAcc</vt:lpstr>
      <vt:lpstr>CriteriaRDSHUPAcc</vt:lpstr>
      <vt:lpstr>CriteriaRDSReturnAcc</vt:lpstr>
      <vt:lpstr>CriteriaReturn</vt:lpstr>
      <vt:lpstr>CriteriaRPPAccAcc</vt:lpstr>
      <vt:lpstr>CriteriaRPPAcqAcc</vt:lpstr>
      <vt:lpstr>CriteriaRPPHUPAcc</vt:lpstr>
      <vt:lpstr>CriteriaRPPReturnAcc</vt:lpstr>
      <vt:lpstr>Details</vt:lpstr>
      <vt:lpstr>Details!ExternalData_1</vt:lpstr>
      <vt:lpstr>'RIL AR'!ExternalData_1</vt:lpstr>
    </vt:vector>
  </TitlesOfParts>
  <Company>Vilimek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Dino Vilimek</dc:creator>
  <cp:lastModifiedBy>sastagamer855@gmail.com</cp:lastModifiedBy>
  <cp:lastPrinted>2018-07-04T13:29:51Z</cp:lastPrinted>
  <dcterms:created xsi:type="dcterms:W3CDTF">2006-10-20T23:31:39Z</dcterms:created>
  <dcterms:modified xsi:type="dcterms:W3CDTF">2026-07-20T16:59:09Z</dcterms:modified>
</cp:coreProperties>
</file>