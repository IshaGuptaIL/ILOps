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My Code\Backend\LegacyApp\wwwroot\Templates\RogersInvoice\"/>
    </mc:Choice>
  </mc:AlternateContent>
  <xr:revisionPtr revIDLastSave="0" documentId="11_BF7D5D1497A87341DAD82E6746DE628E61986B21" xr6:coauthVersionLast="47" xr6:coauthVersionMax="47" xr10:uidLastSave="{00000000-0000-0000-0000-000000000000}"/>
  <bookViews>
    <workbookView xWindow="-110" yWindow="-110" windowWidth="19420" windowHeight="10300" tabRatio="458" xr2:uid="{00000000-000D-0000-FFFF-FFFF00000000}"/>
  </bookViews>
  <sheets>
    <sheet name="Claim" sheetId="16" r:id="rId1"/>
    <sheet name="Criteria" sheetId="3" state="hidden" r:id="rId2"/>
    <sheet name="GL Coding Chart" sheetId="9" state="hidden" r:id="rId3"/>
  </sheets>
  <externalReferences>
    <externalReference r:id="rId4"/>
    <externalReference r:id="rId5"/>
  </externalReferences>
  <definedNames>
    <definedName name="_xlnm._FilterDatabase" localSheetId="0" hidden="1">Claim!$A$1:$CB$1</definedName>
    <definedName name="_xlnm._FilterDatabase" localSheetId="2" hidden="1">'GL Coding Chart'!$A$2:$H$98</definedName>
    <definedName name="Acquisition" localSheetId="0">Claim!$1:$1048576</definedName>
    <definedName name="Acquisition" localSheetId="2">[1]Acquisition!$A:$IV</definedName>
    <definedName name="Acquisition">#REF!</definedName>
    <definedName name="CriteriaAcc" localSheetId="0">[2]Criteria!$A$6:$C$7</definedName>
    <definedName name="CriteriaAcc" localSheetId="2">[1]Criteria!$A$6:$C$7</definedName>
    <definedName name="CriteriaAcc">Criteria!$A$6:$C$7</definedName>
    <definedName name="CriteriaAcquisition" localSheetId="0">[2]Criteria!$A$10:$C$11</definedName>
    <definedName name="CriteriaAcquisition" localSheetId="2">[1]Criteria!$A$10:$C$11</definedName>
    <definedName name="CriteriaAcquisition">Criteria!$A$10:$C$11</definedName>
    <definedName name="CriteriaHUP" localSheetId="0">[2]Criteria!$A$2:$C$3</definedName>
    <definedName name="CriteriaHUP" localSheetId="2">[1]Criteria!$A$2:$C$3</definedName>
    <definedName name="CriteriaHUP">Criteria!$A$2:$C$3</definedName>
    <definedName name="CriteriaReturn" localSheetId="0">[2]Criteria!$A$14:$C$15</definedName>
    <definedName name="CriteriaReturn" localSheetId="2">[1]Criteria!$A$14:$C$15</definedName>
    <definedName name="CriteriaReturn">Criteria!$A$14:$C$15</definedName>
    <definedName name="ExternalData_1" localSheetId="0">Claim!$A$1:$W$2</definedName>
    <definedName name="HUPMisc" localSheetId="0">'[2]HUP&amp;Misc'!$A:$IV</definedName>
    <definedName name="HUPMisc" localSheetId="2">'[1]HUP&amp;Misc'!$A:$IV</definedName>
    <definedName name="HUPMisc">#REF!</definedName>
    <definedName name="MyData" localSheetId="0">Claim!$1:$1048576</definedName>
    <definedName name="MyData" localSheetId="2">[1]Acquisition!$A:$IV</definedName>
    <definedName name="MyData">#REF!</definedName>
    <definedName name="_xlnm.Print_Titles" localSheetId="0">Claim!$1:$1</definedName>
    <definedName name="Returns" localSheetId="0">[2]Returns!$A:$IV</definedName>
    <definedName name="Returns" localSheetId="2">[1]Returns!$A:$IV</definedName>
    <definedName name="Returns">#REF!</definedName>
    <definedName name="TEST" localSheetId="2">[1]Criteria!$A$18:$D$19</definedName>
    <definedName name="TEST">Criteria!$A$18:$D$19</definedName>
    <definedName name="TEST2" localSheetId="2">[1]Criteria!$A$21:$D$22</definedName>
    <definedName name="TEST2">Criteria!$A$21:$D$22</definedName>
    <definedName name="TEST3" localSheetId="2">[1]Criteria!$A$24:$D$25</definedName>
    <definedName name="TEST3">Criteria!$A$24:$D$25</definedName>
    <definedName name="TEST4" localSheetId="2">[1]Criteria!$A$27:$D$28</definedName>
    <definedName name="TEST4">Criteria!$A$27:$D$28</definedName>
    <definedName name="TEST5" localSheetId="0">[2]Criteria!$A$30:$D$31</definedName>
    <definedName name="TEST5" localSheetId="2">[1]Criteria!$A$30:$D$31</definedName>
    <definedName name="TEST5">Criteria!$A$30:$D$31</definedName>
    <definedName name="TEST6" localSheetId="0">[2]Criteria!$A$33:$D$34</definedName>
    <definedName name="TEST6" localSheetId="2">[1]Criteria!$A$33:$D$34</definedName>
    <definedName name="TEST6">Criteria!$A$33:$D$34</definedName>
    <definedName name="TEST7" localSheetId="0">[2]Criteria!$A$36:$D$37</definedName>
    <definedName name="TEST7" localSheetId="2">[1]Criteria!$A$36:$D$37</definedName>
    <definedName name="TEST7">Criteria!$A$36:$D$37</definedName>
    <definedName name="TEST8" localSheetId="0">[2]Criteria!$A$39:$D$40</definedName>
    <definedName name="TEST8" localSheetId="2">[1]Criteria!$A$39:$D$40</definedName>
    <definedName name="TEST8">Criteria!$A$39:$D$40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8" i="9" l="1"/>
  <c r="F98" i="9"/>
  <c r="G97" i="9"/>
  <c r="F97" i="9"/>
  <c r="G96" i="9"/>
  <c r="F96" i="9"/>
  <c r="G95" i="9"/>
  <c r="F95" i="9"/>
  <c r="G94" i="9"/>
  <c r="F94" i="9"/>
  <c r="G93" i="9"/>
  <c r="F93" i="9"/>
  <c r="G92" i="9"/>
  <c r="F92" i="9"/>
  <c r="G91" i="9"/>
  <c r="F91" i="9"/>
  <c r="G90" i="9"/>
  <c r="F90" i="9"/>
  <c r="G89" i="9"/>
  <c r="F89" i="9"/>
  <c r="G88" i="9"/>
  <c r="F88" i="9"/>
  <c r="G87" i="9"/>
  <c r="F87" i="9"/>
  <c r="G86" i="9"/>
  <c r="F86" i="9"/>
  <c r="G85" i="9"/>
  <c r="F85" i="9"/>
  <c r="G84" i="9"/>
  <c r="F84" i="9"/>
  <c r="G83" i="9"/>
  <c r="F83" i="9"/>
  <c r="G82" i="9"/>
  <c r="F82" i="9"/>
  <c r="G81" i="9"/>
  <c r="F81" i="9"/>
  <c r="G80" i="9"/>
  <c r="F80" i="9"/>
  <c r="G79" i="9"/>
  <c r="F79" i="9"/>
  <c r="G78" i="9"/>
  <c r="F78" i="9"/>
  <c r="G77" i="9"/>
  <c r="F77" i="9"/>
  <c r="G76" i="9"/>
  <c r="F76" i="9"/>
  <c r="G75" i="9"/>
  <c r="F75" i="9"/>
  <c r="G74" i="9"/>
  <c r="F74" i="9"/>
  <c r="G73" i="9"/>
  <c r="F73" i="9"/>
  <c r="G72" i="9"/>
  <c r="F72" i="9"/>
  <c r="G71" i="9"/>
  <c r="F71" i="9"/>
  <c r="G70" i="9"/>
  <c r="F70" i="9"/>
  <c r="G69" i="9"/>
  <c r="F69" i="9"/>
  <c r="G68" i="9"/>
  <c r="F68" i="9"/>
  <c r="G67" i="9"/>
  <c r="F67" i="9"/>
  <c r="G66" i="9"/>
  <c r="F66" i="9"/>
  <c r="G65" i="9"/>
  <c r="F65" i="9"/>
  <c r="G64" i="9"/>
  <c r="F64" i="9"/>
  <c r="G63" i="9"/>
  <c r="F63" i="9"/>
  <c r="G62" i="9"/>
  <c r="F62" i="9"/>
  <c r="G61" i="9"/>
  <c r="F61" i="9"/>
  <c r="G60" i="9"/>
  <c r="F60" i="9"/>
  <c r="G59" i="9"/>
  <c r="F59" i="9"/>
  <c r="G58" i="9"/>
  <c r="F58" i="9"/>
  <c r="G57" i="9"/>
  <c r="F57" i="9"/>
  <c r="G56" i="9"/>
  <c r="F56" i="9"/>
  <c r="G55" i="9"/>
  <c r="F55" i="9"/>
  <c r="G54" i="9"/>
  <c r="F54" i="9"/>
  <c r="G53" i="9"/>
  <c r="F53" i="9"/>
  <c r="G52" i="9"/>
  <c r="F52" i="9"/>
  <c r="G51" i="9"/>
  <c r="F51" i="9"/>
  <c r="G50" i="9"/>
  <c r="F50" i="9"/>
  <c r="G49" i="9"/>
  <c r="F49" i="9"/>
  <c r="G48" i="9"/>
  <c r="F48" i="9"/>
  <c r="G47" i="9"/>
  <c r="F47" i="9"/>
  <c r="G46" i="9"/>
  <c r="F46" i="9"/>
  <c r="G45" i="9"/>
  <c r="F45" i="9"/>
  <c r="G44" i="9"/>
  <c r="F44" i="9"/>
  <c r="G43" i="9"/>
  <c r="F43" i="9"/>
  <c r="G42" i="9"/>
  <c r="F42" i="9"/>
  <c r="G41" i="9"/>
  <c r="F41" i="9"/>
  <c r="G40" i="9"/>
  <c r="F40" i="9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G27" i="9"/>
  <c r="F27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B40" i="3"/>
  <c r="B37" i="3"/>
  <c r="B34" i="3"/>
  <c r="B31" i="3"/>
  <c r="B28" i="3"/>
  <c r="B25" i="3"/>
  <c r="B22" i="3"/>
  <c r="B19" i="3"/>
  <c r="A40" i="3"/>
  <c r="A37" i="3"/>
  <c r="A34" i="3"/>
  <c r="A31" i="3"/>
  <c r="A28" i="3"/>
  <c r="A25" i="3"/>
  <c r="A22" i="3"/>
  <c r="A19" i="3"/>
  <c r="A11" i="3"/>
  <c r="B11" i="3"/>
  <c r="A7" i="3"/>
  <c r="B7" i="3"/>
  <c r="A15" i="3"/>
  <c r="B15" i="3"/>
  <c r="A3" i="3"/>
  <c r="E9" i="3"/>
  <c r="B3" i="3"/>
  <c r="E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ACE.OLEDB.12.0;Password=&quot;&quot;;User ID=Admin;Data Source=C:\Users\pwright\Desktop\RogersInvoice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Acquisition WHERE (AcquisitionOutput.ChannelName='RIL') AND (AcquisitionOutput.Type='Acquisition')"/>
  </connection>
  <connection id="2" xr16:uid="{00000000-0015-0000-FFFF-FFFF01000000}" keepAlive="1" name="Connection1" type="5" refreshedVersion="0" background="1">
    <dbPr connection="Provider=Microsoft.ACE.OLEDB.12.0;Password=&quot;&quot;;User ID=Admin;Data Source=H:\RogersInvoice\RogersInvoiceDATA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AcquisitionOutput WHERE  AND "/>
  </connection>
  <connection id="3" xr16:uid="{00000000-0015-0000-FFFF-FFFF02000000}" keepAlive="1" name="Connection2" type="5" refreshedVersion="6" saveData="1">
    <dbPr connection="Provider=Microsoft.ACE.OLEDB.12.0;User ID=Admin;Data Source=H:\RogersInvoice\RogersInvoiceDATA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tblUPSLost"/>
  </connection>
</connections>
</file>

<file path=xl/sharedStrings.xml><?xml version="1.0" encoding="utf-8"?>
<sst xmlns="http://schemas.openxmlformats.org/spreadsheetml/2006/main" count="553" uniqueCount="99">
  <si>
    <t>Acquisition</t>
  </si>
  <si>
    <t>testing</t>
  </si>
  <si>
    <t>feecount</t>
  </si>
  <si>
    <t>fee</t>
  </si>
  <si>
    <t>FFF - Acq</t>
  </si>
  <si>
    <t>FFF - HUP</t>
  </si>
  <si>
    <t>Return</t>
  </si>
  <si>
    <t>HUP</t>
  </si>
  <si>
    <t>Credit Card Fees</t>
  </si>
  <si>
    <t>Acc</t>
  </si>
  <si>
    <t>Cost Breakdown</t>
  </si>
  <si>
    <t>Top-Up Subsidy - Acq</t>
  </si>
  <si>
    <t>Top-Up Subsidy - HUP</t>
  </si>
  <si>
    <t>Receivables - Acq</t>
  </si>
  <si>
    <t>Receivables - HUP</t>
  </si>
  <si>
    <t>ChannelName</t>
  </si>
  <si>
    <t>PaymentMethod</t>
  </si>
  <si>
    <t>Type</t>
  </si>
  <si>
    <t>OrderDate</t>
  </si>
  <si>
    <t>&gt;=40360</t>
  </si>
  <si>
    <t>&lt;40360</t>
  </si>
  <si>
    <t>RIL</t>
  </si>
  <si>
    <t>BCC</t>
  </si>
  <si>
    <t>Corporate</t>
  </si>
  <si>
    <t>Government of Canada</t>
  </si>
  <si>
    <t>NIS</t>
  </si>
  <si>
    <t>Ontario Government (MGS)</t>
  </si>
  <si>
    <t>RDL</t>
  </si>
  <si>
    <t>Channel</t>
  </si>
  <si>
    <t>G/L Coding for Credit Card</t>
  </si>
  <si>
    <t>G/L Coding for Vision 21</t>
  </si>
  <si>
    <t>G/L Coding for Invoice</t>
  </si>
  <si>
    <t>Match GL coding for Credit Card and Vision21</t>
  </si>
  <si>
    <t>Match GL coding for Vision21 and Invoice</t>
  </si>
  <si>
    <t>534.1101.1140.0000.63010.009.0000.0000.000</t>
  </si>
  <si>
    <t>534.1101.1140.9999.63010.009.0000.0000.000</t>
  </si>
  <si>
    <t>534.1101.1140.1014.63010.009.0000.0000.000</t>
  </si>
  <si>
    <t>534.2100.0000.1014.47108.009.0000.0000.000</t>
  </si>
  <si>
    <t>534.2100.0000.1014.47408.009.0000.0000.000</t>
  </si>
  <si>
    <t>534.1101.1140.0000.63010.007.0000.0000.000</t>
  </si>
  <si>
    <t>534.1101.1140.9999.63010.007.0000.0000.000</t>
  </si>
  <si>
    <t>534.1101.1140.1014.63010.007.0000.0000.000</t>
  </si>
  <si>
    <t>534.2100.0000.1014.47108.007.0000.0000.000</t>
  </si>
  <si>
    <t>534.2100.0000.1014.47408.007.0000.0000.000</t>
  </si>
  <si>
    <t>534.1101.1140.0000.63010.025.0000.0000.000</t>
  </si>
  <si>
    <t>534.1101.1140.9999.63010.025.0000.0000.000</t>
  </si>
  <si>
    <t>534.1101.1140.1014.63010.025.0000.0000.000</t>
  </si>
  <si>
    <t>534.2100.0000.1014.47108.025.0000.0000.000</t>
  </si>
  <si>
    <t>534.2100.0000.1014.47408.025.0000.0000.000</t>
  </si>
  <si>
    <t>534.1101.1140.0000.63010.012.0000.0000.000</t>
  </si>
  <si>
    <t>534.1101.1140.9999.63010.012.0000.0000.000</t>
  </si>
  <si>
    <t>534.1101.1140.1014.63010.012.0000.0000.000</t>
  </si>
  <si>
    <t>534.2100.0000.1014.47108.012.0000.0000.000</t>
  </si>
  <si>
    <t>534.2100.0000.1014.47408.012.0000.0000.000</t>
  </si>
  <si>
    <t>RDC</t>
  </si>
  <si>
    <t>534.1101.1140.0000.63120.012.0000.0000.000</t>
  </si>
  <si>
    <t>534.1101.1140.9999.63120.012.0000.0000.000</t>
  </si>
  <si>
    <t>534.1101.1140.1014.63120.012.0000.0000.000</t>
  </si>
  <si>
    <t>534.2100.0000.9999.47408.012.0000.0000.000</t>
  </si>
  <si>
    <t>RCC</t>
  </si>
  <si>
    <t>Not Applicable</t>
  </si>
  <si>
    <t>534.2100.0000.9999.47408.025.0000.0000.000</t>
  </si>
  <si>
    <t>NDS</t>
  </si>
  <si>
    <t>534.1101.1140.0000.63010.003.0000.0000.000</t>
  </si>
  <si>
    <t>534.1101.1140.9999.63010.003.0000.0000.000</t>
  </si>
  <si>
    <t>534.1101.1140.1014.63010.003.0000.0000.000</t>
  </si>
  <si>
    <t>534.2100.0000.1014.47108.003.0000.0000.000</t>
  </si>
  <si>
    <t>534.2100.0000.1014.47408.003.0000.0000.000</t>
  </si>
  <si>
    <t>M2M</t>
  </si>
  <si>
    <t>534.1101.4542.0000.63010.000.0000.0000.000</t>
  </si>
  <si>
    <t>534.1101.4542.9999.63010.000.0000.0000.000</t>
  </si>
  <si>
    <t>534.1101.1140.1014.63010.000.0000.0000.000</t>
  </si>
  <si>
    <t>534.2100.0000.1014.47108.000.0000.0000.000</t>
  </si>
  <si>
    <t>534.2100.0000.1014.47408.000.0000.0000.000</t>
  </si>
  <si>
    <t>RCT</t>
  </si>
  <si>
    <t>RV-UE Value</t>
  </si>
  <si>
    <t>534.1101.0000.0000.17051.000.0000.0000.000</t>
  </si>
  <si>
    <t>Invoice</t>
  </si>
  <si>
    <t>InvoiceDate</t>
  </si>
  <si>
    <t>OriginalInvoice</t>
  </si>
  <si>
    <t>CustName</t>
  </si>
  <si>
    <t>WebOrderID</t>
  </si>
  <si>
    <t>CellPhoneNo</t>
  </si>
  <si>
    <t>Qty</t>
  </si>
  <si>
    <t>PartNumber</t>
  </si>
  <si>
    <t>FreeAccessory</t>
  </si>
  <si>
    <t>IMEIESN</t>
  </si>
  <si>
    <t>CostPrice</t>
  </si>
  <si>
    <t>AccessoryCost</t>
  </si>
  <si>
    <t>TotalBeforeTaxes</t>
  </si>
  <si>
    <t>HST</t>
  </si>
  <si>
    <t>TotalClaim</t>
  </si>
  <si>
    <t>Courier</t>
  </si>
  <si>
    <t>Claim</t>
  </si>
  <si>
    <t>OutstandingAR</t>
  </si>
  <si>
    <t>NetIMEIReceiveCost</t>
  </si>
  <si>
    <t>NetPriceProtection</t>
  </si>
  <si>
    <t>NetCost</t>
  </si>
  <si>
    <t>Territory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</si>
</sst>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0" fontId="0" fillId="0" borderId="0" xfId="0" applyAlignment="1" applyProtection="1">
      <alignment vertical="center"/>
      <protection locked="0"/>
    </xf>
    <xf numFmtId="14" fontId="4" fillId="2" borderId="0" xfId="0" applyNumberFormat="1" applyFont="1" applyFill="1"/>
    <xf numFmtId="0" fontId="2" fillId="0" borderId="0" xfId="1" applyFont="1" applyAlignment="1">
      <alignment horizontal="center" vertical="center" wrapText="1"/>
    </xf>
    <xf numFmtId="0" fontId="3" fillId="0" borderId="0" xfId="1"/>
    <xf numFmtId="0" fontId="3" fillId="0" borderId="0" xfId="1" applyAlignment="1">
      <alignment horizontal="center"/>
    </xf>
    <xf numFmtId="0" fontId="0" fillId="0" borderId="0" xfId="0" applyAlignment="1">
      <alignment vertical="center"/>
    </xf>
    <xf numFmtId="0" fontId="4" fillId="3" borderId="0" xfId="0" applyFont="1" applyFill="1"/>
    <xf numFmtId="0" fontId="1" fillId="3" borderId="0" xfId="0" applyFont="1" applyFill="1"/>
    <xf numFmtId="0" fontId="1" fillId="0" borderId="0" xfId="0" applyFont="1"/>
    <xf numFmtId="0" fontId="1" fillId="0" borderId="0" xfId="0" quotePrefix="1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ogersInvoice\RogersInvoiceFFF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ogersInvoice\RogersInvoi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Acquisition"/>
      <sheetName val="HUP&amp;Misc"/>
      <sheetName val="Returns"/>
      <sheetName val="Criteria"/>
      <sheetName val="AccDetail"/>
      <sheetName val="GL Coding Chart"/>
    </sheetNames>
    <sheetDataSet>
      <sheetData sheetId="0"/>
      <sheetData sheetId="1">
        <row r="1">
          <cell r="A1" t="str">
            <v>ChannelName</v>
          </cell>
          <cell r="B1" t="str">
            <v>PaymentMethod</v>
          </cell>
          <cell r="C1" t="str">
            <v>Type</v>
          </cell>
          <cell r="D1" t="str">
            <v>Invoice</v>
          </cell>
          <cell r="E1" t="str">
            <v>InvoiceDate</v>
          </cell>
          <cell r="F1" t="str">
            <v>OrderDate</v>
          </cell>
          <cell r="G1" t="str">
            <v>CustName</v>
          </cell>
          <cell r="H1" t="str">
            <v>CustTerritory</v>
          </cell>
          <cell r="I1" t="str">
            <v>MSD</v>
          </cell>
          <cell r="J1" t="str">
            <v>UserName</v>
          </cell>
          <cell r="K1" t="str">
            <v>CellPhoneNo</v>
          </cell>
          <cell r="L1" t="str">
            <v>VoicePlan</v>
          </cell>
          <cell r="M1" t="str">
            <v>DataPlan</v>
          </cell>
          <cell r="N1" t="str">
            <v>WebOrderID</v>
          </cell>
          <cell r="O1" t="str">
            <v>Type2</v>
          </cell>
          <cell r="P1" t="str">
            <v>Qty</v>
          </cell>
          <cell r="Q1" t="str">
            <v>PartNumber</v>
          </cell>
          <cell r="R1" t="str">
            <v>FreeAccessory</v>
          </cell>
          <cell r="S1" t="str">
            <v>IMEIESN</v>
          </cell>
          <cell r="T1" t="str">
            <v>CostPrice</v>
          </cell>
          <cell r="U1" t="str">
            <v>SellPrice</v>
          </cell>
          <cell r="V1" t="str">
            <v>TopUpOwing</v>
          </cell>
          <cell r="W1" t="str">
            <v>AccessoryCost</v>
          </cell>
          <cell r="X1" t="str">
            <v>AccessoryPrice</v>
          </cell>
          <cell r="Y1" t="str">
            <v>TopUp Acc</v>
          </cell>
          <cell r="Z1" t="str">
            <v>TopUpTotal</v>
          </cell>
          <cell r="AA1" t="str">
            <v>Fee</v>
          </cell>
          <cell r="AB1" t="str">
            <v>FeeCount</v>
          </cell>
          <cell r="AC1" t="str">
            <v>ARAmount</v>
          </cell>
          <cell r="AD1" t="str">
            <v>HDWChargeToCustomer</v>
          </cell>
          <cell r="AE1" t="str">
            <v>True HDW TopUp</v>
          </cell>
          <cell r="AF1" t="str">
            <v>ACCChargeToCx</v>
          </cell>
          <cell r="AG1" t="str">
            <v>AccMargin</v>
          </cell>
          <cell r="AH1" t="str">
            <v>Group</v>
          </cell>
          <cell r="AI1" t="str">
            <v>AccSellingPrice</v>
          </cell>
          <cell r="AJ1" t="str">
            <v>AccQtys</v>
          </cell>
          <cell r="AK1" t="str">
            <v>M2MOrderID</v>
          </cell>
          <cell r="AL1" t="str">
            <v>ReturnClassification</v>
          </cell>
          <cell r="AM1" t="str">
            <v>AdjustmentType</v>
          </cell>
          <cell r="AN1" t="str">
            <v>AccSeq</v>
          </cell>
          <cell r="AO1" t="str">
            <v>BVReceiptCost</v>
          </cell>
          <cell r="AP1" t="str">
            <v>IMEIReceiveAppCost</v>
          </cell>
          <cell r="AQ1" t="str">
            <v>NetPriceProtection</v>
          </cell>
          <cell r="AR1" t="str">
            <v>NetIMEIReceiveAppCost</v>
          </cell>
          <cell r="AS1" t="str">
            <v>ReceiptDate1</v>
          </cell>
          <cell r="AT1" t="str">
            <v>Invoice1</v>
          </cell>
          <cell r="AU1" t="str">
            <v>Qty1</v>
          </cell>
          <cell r="AV1" t="str">
            <v>Cost1</v>
          </cell>
          <cell r="AW1" t="str">
            <v>ReceiptDate2</v>
          </cell>
          <cell r="AX1" t="str">
            <v>Invoice2</v>
          </cell>
          <cell r="AY1" t="str">
            <v>Qty2</v>
          </cell>
          <cell r="AZ1" t="str">
            <v>Cost2</v>
          </cell>
          <cell r="BA1" t="str">
            <v>ReceiptDate3</v>
          </cell>
          <cell r="BB1" t="str">
            <v>Invoice3</v>
          </cell>
          <cell r="BC1" t="str">
            <v>Qty3</v>
          </cell>
          <cell r="BD1" t="str">
            <v>Cost3</v>
          </cell>
          <cell r="BE1" t="str">
            <v>ReceiptDate4</v>
          </cell>
          <cell r="BF1" t="str">
            <v>Invoice4</v>
          </cell>
          <cell r="BG1" t="str">
            <v>Qty4</v>
          </cell>
          <cell r="BH1" t="str">
            <v>Cost4</v>
          </cell>
          <cell r="BI1" t="str">
            <v>ReceiptDate5</v>
          </cell>
          <cell r="BJ1" t="str">
            <v>Invoice5</v>
          </cell>
          <cell r="BK1" t="str">
            <v>Qty5</v>
          </cell>
          <cell r="BL1" t="str">
            <v>Cost5</v>
          </cell>
          <cell r="BM1" t="str">
            <v>ReceiptDate6</v>
          </cell>
          <cell r="BN1" t="str">
            <v>Invoice6</v>
          </cell>
          <cell r="BO1" t="str">
            <v>Qty6</v>
          </cell>
          <cell r="BP1" t="str">
            <v>Cost6</v>
          </cell>
          <cell r="BQ1" t="str">
            <v>ReceiptDate7</v>
          </cell>
          <cell r="BR1" t="str">
            <v>Invoice7</v>
          </cell>
          <cell r="BS1" t="str">
            <v>Qty7</v>
          </cell>
          <cell r="BT1" t="str">
            <v>Cost7</v>
          </cell>
        </row>
      </sheetData>
      <sheetData sheetId="2">
        <row r="1">
          <cell r="A1" t="str">
            <v>ChannelName</v>
          </cell>
          <cell r="B1" t="str">
            <v>PaymentMethod</v>
          </cell>
          <cell r="C1" t="str">
            <v>Type</v>
          </cell>
          <cell r="D1" t="str">
            <v>Invoice</v>
          </cell>
          <cell r="E1" t="str">
            <v>InvoiceDate</v>
          </cell>
          <cell r="F1" t="str">
            <v>OrderDate</v>
          </cell>
          <cell r="G1" t="str">
            <v>CustName</v>
          </cell>
          <cell r="H1" t="str">
            <v>CustTerritory</v>
          </cell>
          <cell r="I1" t="str">
            <v>MSD</v>
          </cell>
          <cell r="J1" t="str">
            <v>UserName</v>
          </cell>
          <cell r="K1" t="str">
            <v>CellPhoneNo</v>
          </cell>
          <cell r="L1" t="str">
            <v>VoicePlan</v>
          </cell>
          <cell r="M1" t="str">
            <v>DataPlan</v>
          </cell>
          <cell r="N1" t="str">
            <v>WebOrderID</v>
          </cell>
          <cell r="O1" t="str">
            <v>Type2</v>
          </cell>
          <cell r="P1" t="str">
            <v>Qty</v>
          </cell>
          <cell r="Q1" t="str">
            <v>PartNumber</v>
          </cell>
          <cell r="R1" t="str">
            <v>FreeAccessory</v>
          </cell>
          <cell r="S1" t="str">
            <v>IMEIESN</v>
          </cell>
          <cell r="T1" t="str">
            <v>CostPrice</v>
          </cell>
          <cell r="U1" t="str">
            <v>SellPrice</v>
          </cell>
          <cell r="V1" t="str">
            <v>TopUpOwing</v>
          </cell>
          <cell r="W1" t="str">
            <v>AccessoryCost</v>
          </cell>
          <cell r="X1" t="str">
            <v>AccessoryPrice</v>
          </cell>
          <cell r="Y1" t="str">
            <v>TopUp Acc</v>
          </cell>
          <cell r="Z1" t="str">
            <v>TopUpTotal</v>
          </cell>
          <cell r="AA1" t="str">
            <v>Fee</v>
          </cell>
          <cell r="AB1" t="str">
            <v>FeeCount</v>
          </cell>
          <cell r="AC1" t="str">
            <v>ARAmount</v>
          </cell>
          <cell r="AD1" t="str">
            <v>HDWChargeToCustomer</v>
          </cell>
          <cell r="AE1" t="str">
            <v>True HDW TopUp</v>
          </cell>
          <cell r="AF1" t="str">
            <v>ACCChargeToCx</v>
          </cell>
          <cell r="AG1" t="str">
            <v>AccMargin</v>
          </cell>
          <cell r="AH1" t="str">
            <v>Group</v>
          </cell>
          <cell r="AI1" t="str">
            <v>AccSellingPrice</v>
          </cell>
          <cell r="AJ1" t="str">
            <v>AccQtys</v>
          </cell>
          <cell r="AK1" t="str">
            <v>M2MOrderID</v>
          </cell>
          <cell r="AL1" t="str">
            <v>ReturnClassification</v>
          </cell>
          <cell r="AM1" t="str">
            <v>AdjustmentType</v>
          </cell>
          <cell r="AN1" t="str">
            <v>AccSeq</v>
          </cell>
          <cell r="AO1" t="str">
            <v>BVReceiptCost</v>
          </cell>
          <cell r="AP1" t="str">
            <v>IMEIReceiveAppCost</v>
          </cell>
          <cell r="AQ1" t="str">
            <v>NetPriceProtection</v>
          </cell>
          <cell r="AR1" t="str">
            <v>NetIMEIReceiveAppCost</v>
          </cell>
          <cell r="AS1" t="str">
            <v>ReceiptDate1</v>
          </cell>
          <cell r="AT1" t="str">
            <v>Invoice1</v>
          </cell>
          <cell r="AU1" t="str">
            <v>Qty1</v>
          </cell>
          <cell r="AV1" t="str">
            <v>Cost1</v>
          </cell>
          <cell r="AW1" t="str">
            <v>ReceiptDate2</v>
          </cell>
          <cell r="AX1" t="str">
            <v>Invoice2</v>
          </cell>
          <cell r="AY1" t="str">
            <v>Qty2</v>
          </cell>
          <cell r="AZ1" t="str">
            <v>Cost2</v>
          </cell>
          <cell r="BA1" t="str">
            <v>ReceiptDate3</v>
          </cell>
          <cell r="BB1" t="str">
            <v>Invoice3</v>
          </cell>
          <cell r="BC1" t="str">
            <v>Qty3</v>
          </cell>
          <cell r="BD1" t="str">
            <v>Cost3</v>
          </cell>
          <cell r="BE1" t="str">
            <v>ReceiptDate4</v>
          </cell>
          <cell r="BF1" t="str">
            <v>Invoice4</v>
          </cell>
          <cell r="BG1" t="str">
            <v>Qty4</v>
          </cell>
          <cell r="BH1" t="str">
            <v>Cost4</v>
          </cell>
          <cell r="BI1" t="str">
            <v>ReceiptDate5</v>
          </cell>
          <cell r="BJ1" t="str">
            <v>Invoice5</v>
          </cell>
          <cell r="BK1" t="str">
            <v>Qty5</v>
          </cell>
          <cell r="BL1" t="str">
            <v>Cost5</v>
          </cell>
          <cell r="BM1" t="str">
            <v>ReceiptDate6</v>
          </cell>
          <cell r="BN1" t="str">
            <v>Invoice6</v>
          </cell>
          <cell r="BO1" t="str">
            <v>Qty6</v>
          </cell>
          <cell r="BP1" t="str">
            <v>Cost6</v>
          </cell>
          <cell r="BQ1" t="str">
            <v>ReceiptDate7</v>
          </cell>
          <cell r="BR1" t="str">
            <v>Invoice7</v>
          </cell>
          <cell r="BS1" t="str">
            <v>Qty7</v>
          </cell>
          <cell r="BT1" t="str">
            <v>Cost7</v>
          </cell>
        </row>
      </sheetData>
      <sheetData sheetId="3">
        <row r="1">
          <cell r="A1" t="str">
            <v>ChannelName</v>
          </cell>
          <cell r="B1" t="str">
            <v>PaymentMethod</v>
          </cell>
          <cell r="C1" t="str">
            <v>Type</v>
          </cell>
          <cell r="D1" t="str">
            <v>Invoice</v>
          </cell>
          <cell r="E1" t="str">
            <v>InvoiceDate</v>
          </cell>
          <cell r="F1" t="str">
            <v>OrderDate</v>
          </cell>
          <cell r="G1" t="str">
            <v>CustName</v>
          </cell>
          <cell r="H1" t="str">
            <v>CustTerritory</v>
          </cell>
          <cell r="I1" t="str">
            <v>MSD</v>
          </cell>
          <cell r="J1" t="str">
            <v>UserName</v>
          </cell>
          <cell r="K1" t="str">
            <v>CellPhoneNo</v>
          </cell>
          <cell r="L1" t="str">
            <v>VoicePlan</v>
          </cell>
          <cell r="M1" t="str">
            <v>DataPlan</v>
          </cell>
          <cell r="N1" t="str">
            <v>WebOrderID</v>
          </cell>
          <cell r="O1" t="str">
            <v>Type2</v>
          </cell>
          <cell r="P1" t="str">
            <v>Qty</v>
          </cell>
          <cell r="Q1" t="str">
            <v>PartNumber</v>
          </cell>
          <cell r="R1" t="str">
            <v>FreeAccessory</v>
          </cell>
          <cell r="S1" t="str">
            <v>IMEIESN</v>
          </cell>
          <cell r="T1" t="str">
            <v>CostPrice</v>
          </cell>
          <cell r="U1" t="str">
            <v>SellPrice</v>
          </cell>
          <cell r="V1" t="str">
            <v>TopUpOwing</v>
          </cell>
          <cell r="W1" t="str">
            <v>AccessoryCost</v>
          </cell>
          <cell r="X1" t="str">
            <v>AccessoryPrice</v>
          </cell>
          <cell r="Y1" t="str">
            <v>TopUp Acc</v>
          </cell>
          <cell r="Z1" t="str">
            <v>TopUpTotal</v>
          </cell>
          <cell r="AA1" t="str">
            <v>Fee</v>
          </cell>
          <cell r="AB1" t="str">
            <v>FeeCount</v>
          </cell>
          <cell r="AC1" t="str">
            <v>ARAmount</v>
          </cell>
          <cell r="AD1" t="str">
            <v>HDWChargeToCustomer</v>
          </cell>
          <cell r="AE1" t="str">
            <v>True HDW TopUp</v>
          </cell>
          <cell r="AF1" t="str">
            <v>ACCChargeToCx</v>
          </cell>
          <cell r="AG1" t="str">
            <v>AccMargin</v>
          </cell>
          <cell r="AH1" t="str">
            <v>Group</v>
          </cell>
          <cell r="AI1" t="str">
            <v>AccSellingPrice</v>
          </cell>
          <cell r="AJ1" t="str">
            <v>AccQtys</v>
          </cell>
          <cell r="AK1" t="str">
            <v>M2MOrderID</v>
          </cell>
          <cell r="AL1" t="str">
            <v>ReturnClassification</v>
          </cell>
          <cell r="AM1" t="str">
            <v>AdjustmentType</v>
          </cell>
          <cell r="AN1" t="str">
            <v>AccSeq</v>
          </cell>
          <cell r="AO1" t="str">
            <v>BVReceiptCost</v>
          </cell>
          <cell r="AP1" t="str">
            <v>IMEIReceiveAppCost</v>
          </cell>
          <cell r="AQ1" t="str">
            <v>NetPriceProtection</v>
          </cell>
          <cell r="AR1" t="str">
            <v>NetIMEIReceiveAppCost</v>
          </cell>
          <cell r="AS1" t="str">
            <v>ReceiptDate1</v>
          </cell>
          <cell r="AT1" t="str">
            <v>Invoice1</v>
          </cell>
          <cell r="AU1" t="str">
            <v>Qty1</v>
          </cell>
          <cell r="AV1" t="str">
            <v>Cost1</v>
          </cell>
          <cell r="AW1" t="str">
            <v>ReceiptDate2</v>
          </cell>
          <cell r="AX1" t="str">
            <v>Invoice2</v>
          </cell>
          <cell r="AY1" t="str">
            <v>Qty2</v>
          </cell>
          <cell r="AZ1" t="str">
            <v>Cost2</v>
          </cell>
          <cell r="BA1" t="str">
            <v>ReceiptDate3</v>
          </cell>
          <cell r="BB1" t="str">
            <v>Invoice3</v>
          </cell>
          <cell r="BC1" t="str">
            <v>Qty3</v>
          </cell>
          <cell r="BD1" t="str">
            <v>Cost3</v>
          </cell>
          <cell r="BE1" t="str">
            <v>ReceiptDate4</v>
          </cell>
          <cell r="BF1" t="str">
            <v>Invoice4</v>
          </cell>
          <cell r="BG1" t="str">
            <v>Qty4</v>
          </cell>
          <cell r="BH1" t="str">
            <v>Cost4</v>
          </cell>
          <cell r="BI1" t="str">
            <v>ReceiptDate5</v>
          </cell>
          <cell r="BJ1" t="str">
            <v>Invoice5</v>
          </cell>
          <cell r="BK1" t="str">
            <v>Qty5</v>
          </cell>
          <cell r="BL1" t="str">
            <v>Cost5</v>
          </cell>
          <cell r="BM1" t="str">
            <v>ReceiptDate6</v>
          </cell>
          <cell r="BN1" t="str">
            <v>Invoice6</v>
          </cell>
          <cell r="BO1" t="str">
            <v>Qty6</v>
          </cell>
          <cell r="BP1" t="str">
            <v>Cost6</v>
          </cell>
          <cell r="BQ1" t="str">
            <v>ReceiptDate7</v>
          </cell>
          <cell r="BR1" t="str">
            <v>Invoice7</v>
          </cell>
          <cell r="BS1" t="str">
            <v>Qty7</v>
          </cell>
          <cell r="BT1" t="str">
            <v>Cost7</v>
          </cell>
        </row>
      </sheetData>
      <sheetData sheetId="4">
        <row r="2">
          <cell r="A2" t="str">
            <v>ChannelName</v>
          </cell>
          <cell r="B2" t="str">
            <v>PaymentMethod</v>
          </cell>
          <cell r="C2" t="str">
            <v>Type</v>
          </cell>
        </row>
        <row r="3">
          <cell r="A3" t="str">
            <v>Corporate</v>
          </cell>
          <cell r="B3" t="str">
            <v>Credit Card</v>
          </cell>
          <cell r="C3" t="str">
            <v>HUP</v>
          </cell>
        </row>
        <row r="6">
          <cell r="A6" t="str">
            <v>ChannelName</v>
          </cell>
          <cell r="B6" t="str">
            <v>PaymentMethod</v>
          </cell>
          <cell r="C6" t="str">
            <v>Type</v>
          </cell>
        </row>
        <row r="7">
          <cell r="A7" t="str">
            <v>Corporate</v>
          </cell>
          <cell r="B7" t="str">
            <v>Credit Card</v>
          </cell>
          <cell r="C7" t="str">
            <v>Acc</v>
          </cell>
        </row>
        <row r="10">
          <cell r="A10" t="str">
            <v>ChannelName</v>
          </cell>
          <cell r="B10" t="str">
            <v>PaymentMethod</v>
          </cell>
          <cell r="C10" t="str">
            <v>Type</v>
          </cell>
        </row>
        <row r="11">
          <cell r="A11" t="str">
            <v>Corporate</v>
          </cell>
          <cell r="B11" t="str">
            <v>Credit Card</v>
          </cell>
          <cell r="C11" t="str">
            <v>Acquisition</v>
          </cell>
        </row>
        <row r="14">
          <cell r="A14" t="str">
            <v>ChannelName</v>
          </cell>
          <cell r="B14" t="str">
            <v>PaymentMethod</v>
          </cell>
          <cell r="C14" t="str">
            <v>Type</v>
          </cell>
        </row>
        <row r="15">
          <cell r="A15" t="str">
            <v>Corporate</v>
          </cell>
          <cell r="B15" t="str">
            <v>Credit Card</v>
          </cell>
          <cell r="C15" t="str">
            <v>Return</v>
          </cell>
        </row>
        <row r="18">
          <cell r="A18" t="str">
            <v>ChannelName</v>
          </cell>
          <cell r="B18" t="str">
            <v>PaymentMethod</v>
          </cell>
          <cell r="C18" t="str">
            <v>Type</v>
          </cell>
          <cell r="D18" t="str">
            <v>OrderDate</v>
          </cell>
        </row>
        <row r="19">
          <cell r="A19" t="str">
            <v>Corporate</v>
          </cell>
          <cell r="B19" t="str">
            <v>Credit Card</v>
          </cell>
          <cell r="C19" t="str">
            <v>Acquisition</v>
          </cell>
          <cell r="D19" t="str">
            <v>&gt;=40360</v>
          </cell>
        </row>
        <row r="21">
          <cell r="A21" t="str">
            <v>ChannelName</v>
          </cell>
          <cell r="B21" t="str">
            <v>PaymentMethod</v>
          </cell>
          <cell r="C21" t="str">
            <v>Type</v>
          </cell>
          <cell r="D21" t="str">
            <v>OrderDate</v>
          </cell>
        </row>
        <row r="22">
          <cell r="A22" t="str">
            <v>Corporate</v>
          </cell>
          <cell r="B22" t="str">
            <v>Credit Card</v>
          </cell>
          <cell r="C22" t="str">
            <v>Acc</v>
          </cell>
          <cell r="D22" t="str">
            <v>&gt;=40360</v>
          </cell>
        </row>
        <row r="24">
          <cell r="A24" t="str">
            <v>ChannelName</v>
          </cell>
          <cell r="B24" t="str">
            <v>PaymentMethod</v>
          </cell>
          <cell r="C24" t="str">
            <v>Type</v>
          </cell>
          <cell r="D24" t="str">
            <v>OrderDate</v>
          </cell>
        </row>
        <row r="25">
          <cell r="A25" t="str">
            <v>Corporate</v>
          </cell>
          <cell r="B25" t="str">
            <v>Credit Card</v>
          </cell>
          <cell r="C25" t="str">
            <v>Return</v>
          </cell>
          <cell r="D25" t="str">
            <v>&gt;=40360</v>
          </cell>
        </row>
        <row r="27">
          <cell r="A27" t="str">
            <v>ChannelName</v>
          </cell>
          <cell r="B27" t="str">
            <v>PaymentMethod</v>
          </cell>
          <cell r="C27" t="str">
            <v>Type</v>
          </cell>
          <cell r="D27" t="str">
            <v>OrderDate</v>
          </cell>
        </row>
        <row r="28">
          <cell r="A28" t="str">
            <v>Corporate</v>
          </cell>
          <cell r="B28" t="str">
            <v>Credit Card</v>
          </cell>
          <cell r="C28" t="str">
            <v>HUP</v>
          </cell>
          <cell r="D28" t="str">
            <v>&gt;=40360</v>
          </cell>
        </row>
        <row r="30">
          <cell r="A30" t="str">
            <v>ChannelName</v>
          </cell>
          <cell r="B30" t="str">
            <v>PaymentMethod</v>
          </cell>
          <cell r="C30" t="str">
            <v>Type</v>
          </cell>
          <cell r="D30" t="str">
            <v>OrderDate</v>
          </cell>
        </row>
        <row r="31">
          <cell r="A31" t="str">
            <v>Corporate</v>
          </cell>
          <cell r="B31" t="str">
            <v>Credit Card</v>
          </cell>
          <cell r="C31" t="str">
            <v>Acquisition</v>
          </cell>
          <cell r="D31" t="str">
            <v>&lt;40360</v>
          </cell>
        </row>
        <row r="33">
          <cell r="A33" t="str">
            <v>ChannelName</v>
          </cell>
          <cell r="B33" t="str">
            <v>PaymentMethod</v>
          </cell>
          <cell r="C33" t="str">
            <v>Type</v>
          </cell>
          <cell r="D33" t="str">
            <v>OrderDate</v>
          </cell>
        </row>
        <row r="34">
          <cell r="A34" t="str">
            <v>Corporate</v>
          </cell>
          <cell r="B34" t="str">
            <v>Credit Card</v>
          </cell>
          <cell r="C34" t="str">
            <v>Acc</v>
          </cell>
          <cell r="D34" t="str">
            <v>&lt;40360</v>
          </cell>
        </row>
        <row r="36">
          <cell r="A36" t="str">
            <v>ChannelName</v>
          </cell>
          <cell r="B36" t="str">
            <v>PaymentMethod</v>
          </cell>
          <cell r="C36" t="str">
            <v>Type</v>
          </cell>
          <cell r="D36" t="str">
            <v>OrderDate</v>
          </cell>
        </row>
        <row r="37">
          <cell r="A37" t="str">
            <v>Corporate</v>
          </cell>
          <cell r="B37" t="str">
            <v>Credit Card</v>
          </cell>
          <cell r="C37" t="str">
            <v>Return</v>
          </cell>
          <cell r="D37" t="str">
            <v>&lt;40360</v>
          </cell>
        </row>
        <row r="39">
          <cell r="A39" t="str">
            <v>ChannelName</v>
          </cell>
          <cell r="B39" t="str">
            <v>PaymentMethod</v>
          </cell>
          <cell r="C39" t="str">
            <v>Type</v>
          </cell>
          <cell r="D39" t="str">
            <v>OrderDate</v>
          </cell>
        </row>
        <row r="40">
          <cell r="A40" t="str">
            <v>Corporate</v>
          </cell>
          <cell r="B40" t="str">
            <v>Credit Card</v>
          </cell>
          <cell r="C40" t="str">
            <v>HUP</v>
          </cell>
          <cell r="D40" t="str">
            <v>&lt;40360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Acquisition"/>
      <sheetName val="HUP&amp;Misc"/>
      <sheetName val="Returns"/>
      <sheetName val="RIL AR"/>
      <sheetName val="Criteria"/>
      <sheetName val="GL Coding Chart"/>
    </sheetNames>
    <sheetDataSet>
      <sheetData sheetId="0"/>
      <sheetData sheetId="1"/>
      <sheetData sheetId="2">
        <row r="1">
          <cell r="A1" t="str">
            <v>ChannelName</v>
          </cell>
          <cell r="B1" t="str">
            <v>PaymentMethod</v>
          </cell>
          <cell r="C1" t="str">
            <v>Type</v>
          </cell>
          <cell r="D1" t="str">
            <v>Invoice</v>
          </cell>
          <cell r="E1" t="str">
            <v>InvoiceDate</v>
          </cell>
          <cell r="F1" t="str">
            <v>OrderDate</v>
          </cell>
          <cell r="G1" t="str">
            <v>CustName</v>
          </cell>
          <cell r="H1" t="str">
            <v>CustTerritory</v>
          </cell>
          <cell r="I1" t="str">
            <v>MSD</v>
          </cell>
          <cell r="J1" t="str">
            <v>UserName</v>
          </cell>
          <cell r="K1" t="str">
            <v>CellPhoneNo</v>
          </cell>
          <cell r="L1" t="str">
            <v>VoicePlan</v>
          </cell>
          <cell r="M1" t="str">
            <v>DataPlan</v>
          </cell>
          <cell r="N1" t="str">
            <v>WebOrderID</v>
          </cell>
          <cell r="O1" t="str">
            <v>Type2</v>
          </cell>
          <cell r="P1" t="str">
            <v>Qty</v>
          </cell>
          <cell r="Q1" t="str">
            <v>PartNumber</v>
          </cell>
          <cell r="R1" t="str">
            <v>FreeAccessory</v>
          </cell>
          <cell r="S1" t="str">
            <v>IMEIESN</v>
          </cell>
          <cell r="T1" t="str">
            <v>CostPrice</v>
          </cell>
          <cell r="U1" t="str">
            <v>SellPrice</v>
          </cell>
          <cell r="V1" t="str">
            <v>TopUpOwing</v>
          </cell>
          <cell r="W1" t="str">
            <v>AccessoryCost</v>
          </cell>
          <cell r="X1" t="str">
            <v>AccessoryPrice</v>
          </cell>
          <cell r="Y1" t="str">
            <v>TopUp Acc</v>
          </cell>
          <cell r="Z1" t="str">
            <v>TopUpTotal</v>
          </cell>
          <cell r="AA1" t="str">
            <v>Fee</v>
          </cell>
          <cell r="AB1" t="str">
            <v>FeeCount</v>
          </cell>
          <cell r="AC1" t="str">
            <v>ARAmount</v>
          </cell>
          <cell r="AD1" t="str">
            <v>RV-UEValue</v>
          </cell>
          <cell r="AE1" t="str">
            <v>HDWChargeToCustomer</v>
          </cell>
          <cell r="AF1" t="str">
            <v>HDWRV-UEValue</v>
          </cell>
          <cell r="AG1" t="str">
            <v>True HDW TopUp</v>
          </cell>
          <cell r="AH1" t="str">
            <v>ACCChargeToCx</v>
          </cell>
          <cell r="AI1" t="str">
            <v>AccMargin</v>
          </cell>
          <cell r="AJ1" t="str">
            <v>Group</v>
          </cell>
          <cell r="AK1" t="str">
            <v>AccSellingPrice</v>
          </cell>
          <cell r="AL1" t="str">
            <v>AccQtys</v>
          </cell>
          <cell r="AM1" t="str">
            <v>M2MOrderID</v>
          </cell>
          <cell r="AN1" t="str">
            <v>ReturnClassification</v>
          </cell>
          <cell r="AO1" t="str">
            <v>AdjustmentType</v>
          </cell>
          <cell r="AP1" t="str">
            <v>AccSeq</v>
          </cell>
          <cell r="AQ1" t="str">
            <v>BVReceiptCost</v>
          </cell>
          <cell r="AR1" t="str">
            <v>IMEIReceiveAppCost</v>
          </cell>
          <cell r="AS1" t="str">
            <v>NetPriceProtection</v>
          </cell>
          <cell r="AT1" t="str">
            <v>NetIMEIReceiveAppCost</v>
          </cell>
          <cell r="AU1" t="str">
            <v>ReceiptDate1</v>
          </cell>
          <cell r="AV1" t="str">
            <v>Invoice1</v>
          </cell>
          <cell r="AW1" t="str">
            <v>Qty1</v>
          </cell>
          <cell r="AX1" t="str">
            <v>Cost1</v>
          </cell>
          <cell r="AY1" t="str">
            <v>ReceiptDate2</v>
          </cell>
          <cell r="AZ1" t="str">
            <v>Invoice2</v>
          </cell>
          <cell r="BA1" t="str">
            <v>Qty2</v>
          </cell>
          <cell r="BB1" t="str">
            <v>Cost2</v>
          </cell>
          <cell r="BC1" t="str">
            <v>ReceiptDate3</v>
          </cell>
          <cell r="BD1" t="str">
            <v>Invoice3</v>
          </cell>
          <cell r="BE1" t="str">
            <v>Qty3</v>
          </cell>
          <cell r="BF1" t="str">
            <v>Cost3</v>
          </cell>
          <cell r="BG1" t="str">
            <v>ReceiptDate4</v>
          </cell>
          <cell r="BH1" t="str">
            <v>Invoice4</v>
          </cell>
          <cell r="BI1" t="str">
            <v>Qty4</v>
          </cell>
          <cell r="BJ1" t="str">
            <v>Cost4</v>
          </cell>
          <cell r="BK1" t="str">
            <v>ReceiptDate5</v>
          </cell>
          <cell r="BL1" t="str">
            <v>Invoice5</v>
          </cell>
          <cell r="BM1" t="str">
            <v>Qty5</v>
          </cell>
          <cell r="BN1" t="str">
            <v>Cost5</v>
          </cell>
          <cell r="BO1" t="str">
            <v>ReceiptDate6</v>
          </cell>
          <cell r="BP1" t="str">
            <v>Invoice6</v>
          </cell>
          <cell r="BQ1" t="str">
            <v>Qty6</v>
          </cell>
          <cell r="BR1" t="str">
            <v>Cost6</v>
          </cell>
          <cell r="BS1" t="str">
            <v>ReceiptDate7</v>
          </cell>
          <cell r="BT1" t="str">
            <v>Invoice7</v>
          </cell>
          <cell r="BU1" t="str">
            <v>Qty7</v>
          </cell>
          <cell r="BV1" t="str">
            <v>Cost7</v>
          </cell>
          <cell r="BW1" t="str">
            <v>BVReceiptNo</v>
          </cell>
          <cell r="BX1" t="str">
            <v>BVReceiptNoInt</v>
          </cell>
          <cell r="BY1" t="str">
            <v>BVReceiptQty</v>
          </cell>
          <cell r="BZ1" t="str">
            <v>BVReceiptCostAcc</v>
          </cell>
          <cell r="CA1" t="str">
            <v>BVReceiptDate</v>
          </cell>
          <cell r="CB1" t="str">
            <v>RogersInvoiceCost</v>
          </cell>
        </row>
      </sheetData>
      <sheetData sheetId="3">
        <row r="1">
          <cell r="A1" t="str">
            <v>ChannelName</v>
          </cell>
          <cell r="B1" t="str">
            <v>PaymentMethod</v>
          </cell>
          <cell r="C1" t="str">
            <v>Type</v>
          </cell>
          <cell r="D1" t="str">
            <v>Invoice</v>
          </cell>
          <cell r="E1" t="str">
            <v>InvoiceDate</v>
          </cell>
          <cell r="F1" t="str">
            <v>OrderDate</v>
          </cell>
          <cell r="G1" t="str">
            <v>CustName</v>
          </cell>
          <cell r="H1" t="str">
            <v>CustTerritory</v>
          </cell>
          <cell r="I1" t="str">
            <v>MSD</v>
          </cell>
          <cell r="J1" t="str">
            <v>UserName</v>
          </cell>
          <cell r="K1" t="str">
            <v>CellPhoneNo</v>
          </cell>
          <cell r="L1" t="str">
            <v>VoicePlan</v>
          </cell>
          <cell r="M1" t="str">
            <v>DataPlan</v>
          </cell>
          <cell r="N1" t="str">
            <v>WebOrderID</v>
          </cell>
          <cell r="O1" t="str">
            <v>Type2</v>
          </cell>
          <cell r="P1" t="str">
            <v>Qty</v>
          </cell>
          <cell r="Q1" t="str">
            <v>PartNumber</v>
          </cell>
          <cell r="R1" t="str">
            <v>FreeAccessory</v>
          </cell>
          <cell r="S1" t="str">
            <v>IMEIESN</v>
          </cell>
          <cell r="T1" t="str">
            <v>CostPrice</v>
          </cell>
          <cell r="U1" t="str">
            <v>SellPrice</v>
          </cell>
          <cell r="V1" t="str">
            <v>TopUpOwing</v>
          </cell>
          <cell r="W1" t="str">
            <v>AccessoryCost</v>
          </cell>
          <cell r="X1" t="str">
            <v>AccessoryPrice</v>
          </cell>
          <cell r="Y1" t="str">
            <v>TopUp Acc</v>
          </cell>
          <cell r="Z1" t="str">
            <v>TopUpTotal</v>
          </cell>
          <cell r="AA1" t="str">
            <v>Fee</v>
          </cell>
          <cell r="AB1" t="str">
            <v>FeeCount</v>
          </cell>
          <cell r="AC1" t="str">
            <v>ARAmount</v>
          </cell>
          <cell r="AD1" t="str">
            <v>RV-UEValue</v>
          </cell>
          <cell r="AE1" t="str">
            <v>HDWChargeToCustomer</v>
          </cell>
          <cell r="AF1" t="str">
            <v>HDWRV-UEValue</v>
          </cell>
          <cell r="AG1" t="str">
            <v>True HDW TopUp</v>
          </cell>
          <cell r="AH1" t="str">
            <v>ACCChargeToCx</v>
          </cell>
          <cell r="AI1" t="str">
            <v>AccMargin</v>
          </cell>
          <cell r="AJ1" t="str">
            <v>Group</v>
          </cell>
          <cell r="AK1" t="str">
            <v>AccSellingPrice</v>
          </cell>
          <cell r="AL1" t="str">
            <v>AccQtys</v>
          </cell>
          <cell r="AM1" t="str">
            <v>M2MOrderID</v>
          </cell>
          <cell r="AN1" t="str">
            <v>ReturnClassification</v>
          </cell>
          <cell r="AO1" t="str">
            <v>AdjustmentType</v>
          </cell>
          <cell r="AP1" t="str">
            <v>AccSeq</v>
          </cell>
          <cell r="AQ1" t="str">
            <v>BVReceiptCost</v>
          </cell>
          <cell r="AR1" t="str">
            <v>IMEIReceiveAppCost</v>
          </cell>
          <cell r="AS1" t="str">
            <v>NetPriceProtection</v>
          </cell>
          <cell r="AT1" t="str">
            <v>NetIMEIReceiveAppCost</v>
          </cell>
          <cell r="AU1" t="str">
            <v>ReceiptDate1</v>
          </cell>
          <cell r="AV1" t="str">
            <v>Invoice1</v>
          </cell>
          <cell r="AW1" t="str">
            <v>Qty1</v>
          </cell>
          <cell r="AX1" t="str">
            <v>Cost1</v>
          </cell>
          <cell r="AY1" t="str">
            <v>ReceiptDate2</v>
          </cell>
          <cell r="AZ1" t="str">
            <v>Invoice2</v>
          </cell>
          <cell r="BA1" t="str">
            <v>Qty2</v>
          </cell>
          <cell r="BB1" t="str">
            <v>Cost2</v>
          </cell>
          <cell r="BC1" t="str">
            <v>ReceiptDate3</v>
          </cell>
          <cell r="BD1" t="str">
            <v>Invoice3</v>
          </cell>
          <cell r="BE1" t="str">
            <v>Qty3</v>
          </cell>
          <cell r="BF1" t="str">
            <v>Cost3</v>
          </cell>
          <cell r="BG1" t="str">
            <v>ReceiptDate4</v>
          </cell>
          <cell r="BH1" t="str">
            <v>Invoice4</v>
          </cell>
          <cell r="BI1" t="str">
            <v>Qty4</v>
          </cell>
          <cell r="BJ1" t="str">
            <v>Cost4</v>
          </cell>
          <cell r="BK1" t="str">
            <v>ReceiptDate5</v>
          </cell>
          <cell r="BL1" t="str">
            <v>Invoice5</v>
          </cell>
          <cell r="BM1" t="str">
            <v>Qty5</v>
          </cell>
          <cell r="BN1" t="str">
            <v>Cost5</v>
          </cell>
          <cell r="BO1" t="str">
            <v>ReceiptDate6</v>
          </cell>
          <cell r="BP1" t="str">
            <v>Invoice6</v>
          </cell>
          <cell r="BQ1" t="str">
            <v>Qty6</v>
          </cell>
          <cell r="BR1" t="str">
            <v>Cost6</v>
          </cell>
          <cell r="BS1" t="str">
            <v>ReceiptDate7</v>
          </cell>
          <cell r="BT1" t="str">
            <v>Invoice7</v>
          </cell>
          <cell r="BU1" t="str">
            <v>Qty7</v>
          </cell>
          <cell r="BV1" t="str">
            <v>Cost7</v>
          </cell>
          <cell r="BW1" t="str">
            <v>BVReceiptNo</v>
          </cell>
          <cell r="BX1" t="str">
            <v>BVReceiptNoInt</v>
          </cell>
          <cell r="BY1" t="str">
            <v>BVReceiptQty</v>
          </cell>
          <cell r="BZ1" t="str">
            <v>BVReceiptCostAcc</v>
          </cell>
          <cell r="CA1" t="str">
            <v>BVReceiptDate</v>
          </cell>
          <cell r="CB1" t="str">
            <v>RogersInvoiceCost</v>
          </cell>
        </row>
      </sheetData>
      <sheetData sheetId="4"/>
      <sheetData sheetId="5">
        <row r="2">
          <cell r="A2" t="str">
            <v>ChannelName</v>
          </cell>
          <cell r="B2" t="str">
            <v>PaymentMethod</v>
          </cell>
          <cell r="C2" t="str">
            <v>Type</v>
          </cell>
        </row>
        <row r="3">
          <cell r="A3" t="str">
            <v>BCC</v>
          </cell>
          <cell r="B3" t="str">
            <v>Credit Card</v>
          </cell>
          <cell r="C3" t="str">
            <v>HUP</v>
          </cell>
        </row>
        <row r="6">
          <cell r="A6" t="str">
            <v>ChannelName</v>
          </cell>
          <cell r="B6" t="str">
            <v>PaymentMethod</v>
          </cell>
          <cell r="C6" t="str">
            <v>Type</v>
          </cell>
        </row>
        <row r="7">
          <cell r="A7" t="str">
            <v>BCC</v>
          </cell>
          <cell r="B7" t="str">
            <v>Credit Card</v>
          </cell>
          <cell r="C7" t="str">
            <v>Acc</v>
          </cell>
        </row>
        <row r="10">
          <cell r="A10" t="str">
            <v>ChannelName</v>
          </cell>
          <cell r="B10" t="str">
            <v>PaymentMethod</v>
          </cell>
          <cell r="C10" t="str">
            <v>Type</v>
          </cell>
        </row>
        <row r="11">
          <cell r="A11" t="str">
            <v>BCC</v>
          </cell>
          <cell r="B11" t="str">
            <v>Credit Card</v>
          </cell>
          <cell r="C11" t="str">
            <v>Acquisition</v>
          </cell>
        </row>
        <row r="14">
          <cell r="A14" t="str">
            <v>ChannelName</v>
          </cell>
          <cell r="B14" t="str">
            <v>PaymentMethod</v>
          </cell>
          <cell r="C14" t="str">
            <v>Type</v>
          </cell>
        </row>
        <row r="15">
          <cell r="A15" t="str">
            <v>BCC</v>
          </cell>
          <cell r="B15" t="str">
            <v>Credit Card</v>
          </cell>
          <cell r="C15" t="str">
            <v>Return</v>
          </cell>
        </row>
        <row r="30">
          <cell r="A30" t="str">
            <v>ChannelName</v>
          </cell>
          <cell r="B30" t="str">
            <v>PaymentMethod</v>
          </cell>
          <cell r="C30" t="str">
            <v>Type</v>
          </cell>
          <cell r="D30" t="str">
            <v>OrderDate</v>
          </cell>
        </row>
        <row r="31">
          <cell r="A31" t="str">
            <v>BCC</v>
          </cell>
          <cell r="B31" t="str">
            <v>Credit Card</v>
          </cell>
          <cell r="C31" t="str">
            <v>Acquisition</v>
          </cell>
          <cell r="D31" t="str">
            <v>&lt;40360</v>
          </cell>
        </row>
        <row r="33">
          <cell r="A33" t="str">
            <v>ChannelName</v>
          </cell>
          <cell r="B33" t="str">
            <v>PaymentMethod</v>
          </cell>
          <cell r="C33" t="str">
            <v>Type</v>
          </cell>
          <cell r="D33" t="str">
            <v>OrderDate</v>
          </cell>
        </row>
        <row r="34">
          <cell r="A34" t="str">
            <v>BCC</v>
          </cell>
          <cell r="B34" t="str">
            <v>Credit Card</v>
          </cell>
          <cell r="C34" t="str">
            <v>Acc</v>
          </cell>
          <cell r="D34" t="str">
            <v>&lt;40360</v>
          </cell>
        </row>
        <row r="36">
          <cell r="A36" t="str">
            <v>ChannelName</v>
          </cell>
          <cell r="B36" t="str">
            <v>PaymentMethod</v>
          </cell>
          <cell r="C36" t="str">
            <v>Type</v>
          </cell>
          <cell r="D36" t="str">
            <v>OrderDate</v>
          </cell>
        </row>
        <row r="37">
          <cell r="A37" t="str">
            <v>BCC</v>
          </cell>
          <cell r="B37" t="str">
            <v>Credit Card</v>
          </cell>
          <cell r="C37" t="str">
            <v>Return</v>
          </cell>
          <cell r="D37" t="str">
            <v>&lt;40360</v>
          </cell>
        </row>
        <row r="39">
          <cell r="A39" t="str">
            <v>ChannelName</v>
          </cell>
          <cell r="B39" t="str">
            <v>PaymentMethod</v>
          </cell>
          <cell r="C39" t="str">
            <v>Type</v>
          </cell>
          <cell r="D39" t="str">
            <v>OrderDate</v>
          </cell>
        </row>
        <row r="40">
          <cell r="A40" t="str">
            <v>BCC</v>
          </cell>
          <cell r="B40" t="str">
            <v>Credit Card</v>
          </cell>
          <cell r="C40" t="str">
            <v>HUP</v>
          </cell>
          <cell r="D40" t="str">
            <v>&lt;40360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000-000000000000}" autoFormatId="0" applyNumberFormats="0" applyBorderFormats="0" applyFontFormats="1" applyPatternFormats="1" applyAlignmentFormats="0" applyWidthHeightFormats="0">
  <queryTableRefresh preserveSortFilterLayout="0" nextId="81">
    <queryTableFields count="23">
      <queryTableField id="1" name="Invoice"/>
      <queryTableField id="2" name="InvoiceDate"/>
      <queryTableField id="3" name="OrderDate"/>
      <queryTableField id="4" name="OriginalInvoice"/>
      <queryTableField id="5" name="CustName"/>
      <queryTableField id="6" name="Territory"/>
      <queryTableField id="7" name="WebOrderID"/>
      <queryTableField id="8" name="CellPhoneNo"/>
      <queryTableField id="9" name="Qty"/>
      <queryTableField id="10" name="PartNumber"/>
      <queryTableField id="11" name="FreeAccessory"/>
      <queryTableField id="12" name="IMEIESN"/>
      <queryTableField id="13" name="CostPrice"/>
      <queryTableField id="14" name="AccessoryCost"/>
      <queryTableField id="15" name="TotalBeforeTaxes"/>
      <queryTableField id="16" name="HST"/>
      <queryTableField id="17" name="TotalClaim"/>
      <queryTableField id="18" name="Courier"/>
      <queryTableField id="19" name="Claim"/>
      <queryTableField id="20" name="OutstandingAR"/>
      <queryTableField id="21" name="NetIMEIReceiveCost"/>
      <queryTableField id="22" name="NetPriceProtection"/>
      <queryTableField id="23" name="NetCost"/>
    </queryTableFields>
  </queryTableRefresh>
</query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B23831"/>
  <sheetViews>
    <sheetView tabSelected="1" zoomScaleNormal="100" workbookViewId="0">
      <pane ySplit="1" topLeftCell="A2" activePane="bottomLeft" state="frozen"/>
      <selection activeCell="C7" sqref="C7:F7"/>
      <selection pane="bottomLeft" activeCell="K15" sqref="K15"/>
    </sheetView>
  </sheetViews>
  <sheetFormatPr defaultColWidth="9.1796875" defaultRowHeight="10" x14ac:dyDescent="0.2"/>
  <cols>
    <col min="1" max="1" width="6.54296875" style="9" customWidth="1"/>
    <col min="2" max="2" width="10" style="9" customWidth="1"/>
    <col min="3" max="3" width="9" style="9" customWidth="1"/>
    <col min="4" max="4" width="12.54296875" style="9" customWidth="1"/>
    <col min="5" max="5" width="9.1796875" style="9" customWidth="1"/>
    <col min="6" max="6" width="8" style="9" customWidth="1"/>
    <col min="7" max="7" width="10.453125" style="9" customWidth="1"/>
    <col min="8" max="8" width="11" style="9" customWidth="1"/>
    <col min="9" max="9" width="3.54296875" style="9" customWidth="1"/>
    <col min="10" max="10" width="10.453125" style="9" customWidth="1"/>
    <col min="11" max="11" width="13.1796875" style="9" customWidth="1"/>
    <col min="12" max="12" width="7" style="9" customWidth="1"/>
    <col min="13" max="13" width="8.7265625" style="9" customWidth="1"/>
    <col min="14" max="14" width="13.26953125" style="9" customWidth="1"/>
    <col min="15" max="15" width="15" style="9" customWidth="1"/>
    <col min="16" max="16" width="4" style="9" customWidth="1"/>
    <col min="17" max="17" width="9.26953125" style="9" customWidth="1"/>
    <col min="18" max="18" width="7" style="9" customWidth="1"/>
    <col min="19" max="19" width="5.453125" style="9" customWidth="1"/>
    <col min="20" max="20" width="12.7265625" style="9" bestFit="1" customWidth="1"/>
    <col min="21" max="21" width="16.7265625" style="9" bestFit="1" customWidth="1"/>
    <col min="22" max="22" width="15.81640625" style="9" bestFit="1" customWidth="1"/>
    <col min="23" max="23" width="7.26953125" style="9" customWidth="1"/>
    <col min="24" max="24" width="13.54296875" style="9" bestFit="1" customWidth="1"/>
    <col min="25" max="25" width="9.26953125" style="9" bestFit="1" customWidth="1"/>
    <col min="26" max="26" width="9.81640625" style="9" bestFit="1" customWidth="1"/>
    <col min="27" max="27" width="3.81640625" style="9" customWidth="1"/>
    <col min="28" max="28" width="8.54296875" style="9" bestFit="1" customWidth="1"/>
    <col min="29" max="29" width="9.453125" style="9" customWidth="1"/>
    <col min="30" max="30" width="10" style="9" customWidth="1"/>
    <col min="31" max="31" width="20.453125" style="9" bestFit="1" customWidth="1"/>
    <col min="32" max="32" width="13.54296875" style="9" customWidth="1"/>
    <col min="33" max="33" width="14.1796875" style="9" bestFit="1" customWidth="1"/>
    <col min="34" max="34" width="14.26953125" style="9" customWidth="1"/>
    <col min="35" max="35" width="9.26953125" style="9" customWidth="1"/>
    <col min="36" max="36" width="5.81640625" style="9" customWidth="1"/>
    <col min="37" max="37" width="13.26953125" style="9" bestFit="1" customWidth="1"/>
    <col min="38" max="38" width="7.453125" style="9" customWidth="1"/>
    <col min="39" max="39" width="10.7265625" style="9" customWidth="1"/>
    <col min="40" max="40" width="17" style="9" bestFit="1" customWidth="1"/>
    <col min="41" max="41" width="14.26953125" style="9" customWidth="1"/>
    <col min="42" max="42" width="6.81640625" style="9" customWidth="1"/>
    <col min="43" max="43" width="12.7265625" style="9" customWidth="1"/>
    <col min="44" max="44" width="17.453125" style="9" customWidth="1"/>
    <col min="45" max="45" width="15.81640625" style="9" bestFit="1" customWidth="1"/>
    <col min="46" max="46" width="20" style="9" customWidth="1"/>
    <col min="47" max="47" width="11.1796875" style="9" customWidth="1"/>
    <col min="48" max="48" width="7.453125" style="9" customWidth="1"/>
    <col min="49" max="49" width="4.453125" style="9" customWidth="1"/>
    <col min="50" max="50" width="5.54296875" style="9" customWidth="1"/>
    <col min="51" max="51" width="11.1796875" style="9" customWidth="1"/>
    <col min="52" max="52" width="7.453125" style="9" customWidth="1"/>
    <col min="53" max="53" width="4.453125" style="9" customWidth="1"/>
    <col min="54" max="54" width="5.54296875" style="9" customWidth="1"/>
    <col min="55" max="55" width="11.1796875" style="9" customWidth="1"/>
    <col min="56" max="56" width="7.453125" style="9" customWidth="1"/>
    <col min="57" max="57" width="4.453125" style="9" customWidth="1"/>
    <col min="58" max="58" width="5.54296875" style="9" customWidth="1"/>
    <col min="59" max="59" width="11.1796875" style="9" customWidth="1"/>
    <col min="60" max="60" width="7.453125" style="9" customWidth="1"/>
    <col min="61" max="61" width="4.453125" style="9" customWidth="1"/>
    <col min="62" max="62" width="5.54296875" style="9" customWidth="1"/>
    <col min="63" max="63" width="11.1796875" style="9" customWidth="1"/>
    <col min="64" max="64" width="7.453125" style="9" customWidth="1"/>
    <col min="65" max="65" width="4.453125" style="9" customWidth="1"/>
    <col min="66" max="66" width="5.54296875" style="9" customWidth="1"/>
    <col min="67" max="67" width="11.1796875" style="9" customWidth="1"/>
    <col min="68" max="68" width="7.453125" style="9" customWidth="1"/>
    <col min="69" max="69" width="4.453125" style="9" customWidth="1"/>
    <col min="70" max="70" width="5.54296875" style="9" customWidth="1"/>
    <col min="71" max="71" width="11.1796875" style="9" customWidth="1"/>
    <col min="72" max="72" width="7.453125" style="9" customWidth="1"/>
    <col min="73" max="73" width="4.453125" style="9" customWidth="1"/>
    <col min="74" max="74" width="5.54296875" style="9" customWidth="1"/>
    <col min="75" max="75" width="11" style="9" customWidth="1"/>
    <col min="76" max="76" width="13.1796875" style="9" customWidth="1"/>
    <col min="77" max="77" width="11.54296875" style="9" customWidth="1"/>
    <col min="78" max="78" width="15.7265625" style="9" customWidth="1"/>
    <col min="79" max="79" width="12.453125" style="9" bestFit="1" customWidth="1"/>
    <col min="80" max="80" width="16.1796875" style="9" bestFit="1" customWidth="1"/>
    <col min="81" max="16384" width="9.1796875" style="9"/>
  </cols>
  <sheetData>
    <row r="1" spans="1:80" s="8" customFormat="1" ht="10.5" x14ac:dyDescent="0.25">
      <c r="A1" s="7" t="s">
        <v>77</v>
      </c>
      <c r="B1" s="7" t="s">
        <v>78</v>
      </c>
      <c r="C1" s="7" t="s">
        <v>18</v>
      </c>
      <c r="D1" s="7" t="s">
        <v>79</v>
      </c>
      <c r="E1" s="7" t="s">
        <v>80</v>
      </c>
      <c r="F1" s="7" t="s">
        <v>98</v>
      </c>
      <c r="G1" s="7" t="s">
        <v>81</v>
      </c>
      <c r="H1" s="7" t="s">
        <v>82</v>
      </c>
      <c r="I1" s="7" t="s">
        <v>83</v>
      </c>
      <c r="J1" s="7" t="s">
        <v>84</v>
      </c>
      <c r="K1" s="7" t="s">
        <v>85</v>
      </c>
      <c r="L1" s="7" t="s">
        <v>86</v>
      </c>
      <c r="M1" s="7" t="s">
        <v>87</v>
      </c>
      <c r="N1" s="7" t="s">
        <v>88</v>
      </c>
      <c r="O1" s="7" t="s">
        <v>89</v>
      </c>
      <c r="P1" s="7" t="s">
        <v>90</v>
      </c>
      <c r="Q1" s="7" t="s">
        <v>91</v>
      </c>
      <c r="R1" s="7" t="s">
        <v>92</v>
      </c>
      <c r="S1" s="7" t="s">
        <v>93</v>
      </c>
      <c r="T1" s="7" t="s">
        <v>94</v>
      </c>
      <c r="U1" s="7" t="s">
        <v>95</v>
      </c>
      <c r="V1" s="7" t="s">
        <v>96</v>
      </c>
      <c r="W1" s="7" t="s">
        <v>97</v>
      </c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</row>
    <row r="10" spans="1:80" x14ac:dyDescent="0.2">
      <c r="S10" s="10"/>
    </row>
    <row r="11" spans="1:80" x14ac:dyDescent="0.2">
      <c r="S11" s="10"/>
    </row>
    <row r="12" spans="1:80" x14ac:dyDescent="0.2">
      <c r="S12" s="10"/>
    </row>
    <row r="13" spans="1:80" x14ac:dyDescent="0.2">
      <c r="S13" s="10"/>
    </row>
    <row r="14" spans="1:80" x14ac:dyDescent="0.2">
      <c r="S14" s="10"/>
    </row>
    <row r="15" spans="1:80" x14ac:dyDescent="0.2">
      <c r="S15" s="10"/>
    </row>
    <row r="16" spans="1:80" x14ac:dyDescent="0.2">
      <c r="S16" s="10"/>
    </row>
    <row r="17" spans="19:19" x14ac:dyDescent="0.2">
      <c r="S17" s="10"/>
    </row>
    <row r="18" spans="19:19" x14ac:dyDescent="0.2">
      <c r="S18" s="10"/>
    </row>
    <row r="19" spans="19:19" x14ac:dyDescent="0.2">
      <c r="S19" s="10"/>
    </row>
    <row r="20" spans="19:19" x14ac:dyDescent="0.2">
      <c r="S20" s="10"/>
    </row>
    <row r="21" spans="19:19" x14ac:dyDescent="0.2">
      <c r="S21" s="10"/>
    </row>
    <row r="22" spans="19:19" x14ac:dyDescent="0.2">
      <c r="S22" s="10"/>
    </row>
    <row r="23" spans="19:19" x14ac:dyDescent="0.2">
      <c r="S23" s="10"/>
    </row>
    <row r="24" spans="19:19" x14ac:dyDescent="0.2">
      <c r="S24" s="10"/>
    </row>
    <row r="25" spans="19:19" x14ac:dyDescent="0.2">
      <c r="S25" s="10"/>
    </row>
    <row r="26" spans="19:19" x14ac:dyDescent="0.2">
      <c r="S26" s="10"/>
    </row>
    <row r="27" spans="19:19" x14ac:dyDescent="0.2">
      <c r="S27" s="10"/>
    </row>
    <row r="28" spans="19:19" x14ac:dyDescent="0.2">
      <c r="S28" s="10"/>
    </row>
    <row r="29" spans="19:19" x14ac:dyDescent="0.2">
      <c r="S29" s="10"/>
    </row>
    <row r="30" spans="19:19" x14ac:dyDescent="0.2">
      <c r="S30" s="10"/>
    </row>
    <row r="31" spans="19:19" x14ac:dyDescent="0.2">
      <c r="S31" s="10"/>
    </row>
    <row r="32" spans="19:19" x14ac:dyDescent="0.2">
      <c r="S32" s="10"/>
    </row>
    <row r="33" spans="19:19" x14ac:dyDescent="0.2">
      <c r="S33" s="10"/>
    </row>
    <row r="34" spans="19:19" x14ac:dyDescent="0.2">
      <c r="S34" s="10"/>
    </row>
    <row r="35" spans="19:19" x14ac:dyDescent="0.2">
      <c r="S35" s="10"/>
    </row>
    <row r="36" spans="19:19" x14ac:dyDescent="0.2">
      <c r="S36" s="10"/>
    </row>
    <row r="38" spans="19:19" x14ac:dyDescent="0.2">
      <c r="S38" s="10"/>
    </row>
    <row r="40" spans="19:19" x14ac:dyDescent="0.2">
      <c r="S40" s="10"/>
    </row>
    <row r="42" spans="19:19" x14ac:dyDescent="0.2">
      <c r="S42" s="10"/>
    </row>
    <row r="44" spans="19:19" x14ac:dyDescent="0.2">
      <c r="S44" s="10"/>
    </row>
    <row r="46" spans="19:19" x14ac:dyDescent="0.2">
      <c r="S46" s="10"/>
    </row>
    <row r="48" spans="19:19" x14ac:dyDescent="0.2">
      <c r="S48" s="10"/>
    </row>
    <row r="50" spans="19:19" x14ac:dyDescent="0.2">
      <c r="S50" s="10"/>
    </row>
    <row r="51" spans="19:19" x14ac:dyDescent="0.2">
      <c r="S51" s="10"/>
    </row>
    <row r="54" spans="19:19" x14ac:dyDescent="0.2">
      <c r="S54" s="10"/>
    </row>
    <row r="59" spans="19:19" x14ac:dyDescent="0.2">
      <c r="S59" s="10"/>
    </row>
    <row r="61" spans="19:19" x14ac:dyDescent="0.2">
      <c r="S61" s="10"/>
    </row>
    <row r="63" spans="19:19" x14ac:dyDescent="0.2">
      <c r="S63" s="10"/>
    </row>
    <row r="65" spans="19:19" x14ac:dyDescent="0.2">
      <c r="S65" s="10"/>
    </row>
    <row r="67" spans="19:19" x14ac:dyDescent="0.2">
      <c r="S67" s="10"/>
    </row>
    <row r="69" spans="19:19" x14ac:dyDescent="0.2">
      <c r="S69" s="10"/>
    </row>
    <row r="70" spans="19:19" x14ac:dyDescent="0.2">
      <c r="S70" s="10"/>
    </row>
    <row r="72" spans="19:19" x14ac:dyDescent="0.2">
      <c r="S72" s="10"/>
    </row>
    <row r="74" spans="19:19" x14ac:dyDescent="0.2">
      <c r="S74" s="10"/>
    </row>
    <row r="77" spans="19:19" x14ac:dyDescent="0.2">
      <c r="S77" s="10"/>
    </row>
    <row r="78" spans="19:19" x14ac:dyDescent="0.2">
      <c r="S78" s="10"/>
    </row>
    <row r="79" spans="19:19" x14ac:dyDescent="0.2">
      <c r="S79" s="10"/>
    </row>
    <row r="80" spans="19:19" x14ac:dyDescent="0.2">
      <c r="S80" s="10"/>
    </row>
    <row r="81" spans="19:19" x14ac:dyDescent="0.2">
      <c r="S81" s="10"/>
    </row>
    <row r="82" spans="19:19" x14ac:dyDescent="0.2">
      <c r="S82" s="10"/>
    </row>
    <row r="83" spans="19:19" x14ac:dyDescent="0.2">
      <c r="S83" s="10"/>
    </row>
    <row r="84" spans="19:19" x14ac:dyDescent="0.2">
      <c r="S84" s="10"/>
    </row>
    <row r="86" spans="19:19" x14ac:dyDescent="0.2">
      <c r="S86" s="10"/>
    </row>
    <row r="87" spans="19:19" x14ac:dyDescent="0.2">
      <c r="S87" s="10"/>
    </row>
    <row r="88" spans="19:19" x14ac:dyDescent="0.2">
      <c r="S88" s="10"/>
    </row>
    <row r="89" spans="19:19" x14ac:dyDescent="0.2">
      <c r="S89" s="10"/>
    </row>
    <row r="90" spans="19:19" x14ac:dyDescent="0.2">
      <c r="S90" s="10"/>
    </row>
    <row r="91" spans="19:19" x14ac:dyDescent="0.2">
      <c r="S91" s="10"/>
    </row>
    <row r="94" spans="19:19" x14ac:dyDescent="0.2">
      <c r="S94" s="10"/>
    </row>
    <row r="95" spans="19:19" x14ac:dyDescent="0.2">
      <c r="S95" s="10"/>
    </row>
    <row r="96" spans="19:19" x14ac:dyDescent="0.2">
      <c r="S96" s="10"/>
    </row>
    <row r="97" spans="19:19" x14ac:dyDescent="0.2">
      <c r="S97" s="10"/>
    </row>
    <row r="98" spans="19:19" x14ac:dyDescent="0.2">
      <c r="S98" s="10"/>
    </row>
    <row r="99" spans="19:19" x14ac:dyDescent="0.2">
      <c r="S99" s="10"/>
    </row>
    <row r="100" spans="19:19" x14ac:dyDescent="0.2">
      <c r="S100" s="10"/>
    </row>
    <row r="101" spans="19:19" x14ac:dyDescent="0.2">
      <c r="S101" s="10"/>
    </row>
    <row r="102" spans="19:19" x14ac:dyDescent="0.2">
      <c r="S102" s="10"/>
    </row>
    <row r="103" spans="19:19" x14ac:dyDescent="0.2">
      <c r="S103" s="10"/>
    </row>
    <row r="104" spans="19:19" x14ac:dyDescent="0.2">
      <c r="S104" s="10"/>
    </row>
    <row r="105" spans="19:19" x14ac:dyDescent="0.2">
      <c r="S105" s="10"/>
    </row>
    <row r="106" spans="19:19" x14ac:dyDescent="0.2">
      <c r="S106" s="10"/>
    </row>
    <row r="107" spans="19:19" x14ac:dyDescent="0.2">
      <c r="S107" s="10"/>
    </row>
    <row r="108" spans="19:19" x14ac:dyDescent="0.2">
      <c r="S108" s="10"/>
    </row>
    <row r="109" spans="19:19" x14ac:dyDescent="0.2">
      <c r="S109" s="10"/>
    </row>
    <row r="110" spans="19:19" x14ac:dyDescent="0.2">
      <c r="S110" s="10"/>
    </row>
    <row r="111" spans="19:19" x14ac:dyDescent="0.2">
      <c r="S111" s="10"/>
    </row>
    <row r="112" spans="19:19" x14ac:dyDescent="0.2">
      <c r="S112" s="10"/>
    </row>
    <row r="113" spans="19:19" x14ac:dyDescent="0.2">
      <c r="S113" s="10"/>
    </row>
    <row r="114" spans="19:19" x14ac:dyDescent="0.2">
      <c r="S114" s="10"/>
    </row>
    <row r="115" spans="19:19" x14ac:dyDescent="0.2">
      <c r="S115" s="10"/>
    </row>
    <row r="116" spans="19:19" x14ac:dyDescent="0.2">
      <c r="S116" s="10"/>
    </row>
    <row r="117" spans="19:19" x14ac:dyDescent="0.2">
      <c r="S117" s="10"/>
    </row>
    <row r="118" spans="19:19" x14ac:dyDescent="0.2">
      <c r="S118" s="10"/>
    </row>
    <row r="119" spans="19:19" x14ac:dyDescent="0.2">
      <c r="S119" s="10"/>
    </row>
    <row r="120" spans="19:19" x14ac:dyDescent="0.2">
      <c r="S120" s="10"/>
    </row>
    <row r="121" spans="19:19" x14ac:dyDescent="0.2">
      <c r="S121" s="10"/>
    </row>
    <row r="123" spans="19:19" x14ac:dyDescent="0.2">
      <c r="S123" s="10"/>
    </row>
    <row r="124" spans="19:19" x14ac:dyDescent="0.2">
      <c r="S124" s="10"/>
    </row>
    <row r="125" spans="19:19" x14ac:dyDescent="0.2">
      <c r="S125" s="10"/>
    </row>
    <row r="126" spans="19:19" x14ac:dyDescent="0.2">
      <c r="S126" s="10"/>
    </row>
    <row r="127" spans="19:19" x14ac:dyDescent="0.2">
      <c r="S127" s="10"/>
    </row>
    <row r="138" spans="19:19" x14ac:dyDescent="0.2">
      <c r="S138" s="10"/>
    </row>
    <row r="142" spans="19:19" x14ac:dyDescent="0.2">
      <c r="S142" s="10"/>
    </row>
    <row r="153" spans="19:19" x14ac:dyDescent="0.2">
      <c r="S153" s="10"/>
    </row>
    <row r="155" spans="19:19" x14ac:dyDescent="0.2">
      <c r="S155" s="10"/>
    </row>
    <row r="156" spans="19:19" x14ac:dyDescent="0.2">
      <c r="S156" s="10"/>
    </row>
    <row r="190" spans="19:19" x14ac:dyDescent="0.2">
      <c r="S190" s="10"/>
    </row>
    <row r="191" spans="19:19" x14ac:dyDescent="0.2">
      <c r="S191" s="10"/>
    </row>
    <row r="193" spans="19:19" x14ac:dyDescent="0.2">
      <c r="S193" s="10"/>
    </row>
    <row r="197" spans="19:19" x14ac:dyDescent="0.2">
      <c r="S197" s="10"/>
    </row>
    <row r="256" spans="19:19" x14ac:dyDescent="0.2">
      <c r="S256" s="10"/>
    </row>
    <row r="277" spans="19:19" x14ac:dyDescent="0.2">
      <c r="S277" s="10"/>
    </row>
    <row r="294" spans="19:19" x14ac:dyDescent="0.2">
      <c r="S294" s="10"/>
    </row>
    <row r="300" spans="19:19" x14ac:dyDescent="0.2">
      <c r="S300" s="10"/>
    </row>
    <row r="308" spans="19:19" x14ac:dyDescent="0.2">
      <c r="S308" s="10"/>
    </row>
    <row r="312" spans="19:19" x14ac:dyDescent="0.2">
      <c r="S312" s="10"/>
    </row>
    <row r="330" spans="19:19" x14ac:dyDescent="0.2">
      <c r="S330" s="10"/>
    </row>
    <row r="338" spans="19:19" x14ac:dyDescent="0.2">
      <c r="S338" s="10"/>
    </row>
    <row r="339" spans="19:19" x14ac:dyDescent="0.2">
      <c r="S339" s="10"/>
    </row>
    <row r="340" spans="19:19" x14ac:dyDescent="0.2">
      <c r="S340" s="10"/>
    </row>
    <row r="341" spans="19:19" x14ac:dyDescent="0.2">
      <c r="S341" s="10"/>
    </row>
    <row r="342" spans="19:19" x14ac:dyDescent="0.2">
      <c r="S342" s="10"/>
    </row>
    <row r="343" spans="19:19" x14ac:dyDescent="0.2">
      <c r="S343" s="10"/>
    </row>
    <row r="344" spans="19:19" x14ac:dyDescent="0.2">
      <c r="S344" s="10"/>
    </row>
    <row r="345" spans="19:19" x14ac:dyDescent="0.2">
      <c r="S345" s="10"/>
    </row>
    <row r="346" spans="19:19" x14ac:dyDescent="0.2">
      <c r="S346" s="10"/>
    </row>
    <row r="347" spans="19:19" x14ac:dyDescent="0.2">
      <c r="S347" s="10"/>
    </row>
    <row r="348" spans="19:19" x14ac:dyDescent="0.2">
      <c r="S348" s="10"/>
    </row>
    <row r="349" spans="19:19" x14ac:dyDescent="0.2">
      <c r="S349" s="10"/>
    </row>
    <row r="362" spans="19:19" x14ac:dyDescent="0.2">
      <c r="S362" s="10"/>
    </row>
    <row r="363" spans="19:19" x14ac:dyDescent="0.2">
      <c r="S363" s="10"/>
    </row>
    <row r="366" spans="19:19" x14ac:dyDescent="0.2">
      <c r="S366" s="10"/>
    </row>
    <row r="392" spans="19:19" x14ac:dyDescent="0.2">
      <c r="S392" s="10"/>
    </row>
    <row r="397" spans="19:19" x14ac:dyDescent="0.2">
      <c r="S397" s="10"/>
    </row>
    <row r="403" spans="19:19" x14ac:dyDescent="0.2">
      <c r="S403" s="10"/>
    </row>
    <row r="423" spans="19:19" x14ac:dyDescent="0.2">
      <c r="S423" s="10"/>
    </row>
    <row r="435" spans="19:19" x14ac:dyDescent="0.2">
      <c r="S435" s="10"/>
    </row>
    <row r="471" spans="19:19" x14ac:dyDescent="0.2">
      <c r="S471" s="10"/>
    </row>
    <row r="480" spans="19:19" x14ac:dyDescent="0.2">
      <c r="S480" s="10"/>
    </row>
    <row r="482" spans="19:19" x14ac:dyDescent="0.2">
      <c r="S482" s="10"/>
    </row>
    <row r="484" spans="19:19" x14ac:dyDescent="0.2">
      <c r="S484" s="10"/>
    </row>
    <row r="485" spans="19:19" x14ac:dyDescent="0.2">
      <c r="S485" s="10"/>
    </row>
    <row r="486" spans="19:19" x14ac:dyDescent="0.2">
      <c r="S486" s="10"/>
    </row>
    <row r="494" spans="19:19" x14ac:dyDescent="0.2">
      <c r="S494" s="10"/>
    </row>
    <row r="527" spans="19:19" x14ac:dyDescent="0.2">
      <c r="S527" s="10"/>
    </row>
    <row r="528" spans="19:19" x14ac:dyDescent="0.2">
      <c r="S528" s="10"/>
    </row>
    <row r="529" spans="19:19" x14ac:dyDescent="0.2">
      <c r="S529" s="10"/>
    </row>
    <row r="530" spans="19:19" x14ac:dyDescent="0.2">
      <c r="S530" s="10"/>
    </row>
    <row r="531" spans="19:19" x14ac:dyDescent="0.2">
      <c r="S531" s="10"/>
    </row>
    <row r="532" spans="19:19" x14ac:dyDescent="0.2">
      <c r="S532" s="10"/>
    </row>
    <row r="533" spans="19:19" x14ac:dyDescent="0.2">
      <c r="S533" s="10"/>
    </row>
    <row r="540" spans="19:19" x14ac:dyDescent="0.2">
      <c r="S540" s="10"/>
    </row>
    <row r="543" spans="19:19" x14ac:dyDescent="0.2">
      <c r="S543" s="10"/>
    </row>
    <row r="544" spans="19:19" x14ac:dyDescent="0.2">
      <c r="S544" s="10"/>
    </row>
    <row r="551" spans="19:19" x14ac:dyDescent="0.2">
      <c r="S551" s="10"/>
    </row>
    <row r="554" spans="19:19" x14ac:dyDescent="0.2">
      <c r="S554" s="10"/>
    </row>
    <row r="557" spans="19:19" x14ac:dyDescent="0.2">
      <c r="S557" s="10"/>
    </row>
    <row r="558" spans="19:19" x14ac:dyDescent="0.2">
      <c r="S558" s="10"/>
    </row>
    <row r="559" spans="19:19" x14ac:dyDescent="0.2">
      <c r="S559" s="10"/>
    </row>
    <row r="561" spans="19:19" x14ac:dyDescent="0.2">
      <c r="S561" s="10"/>
    </row>
    <row r="563" spans="19:19" x14ac:dyDescent="0.2">
      <c r="S563" s="10"/>
    </row>
    <row r="564" spans="19:19" x14ac:dyDescent="0.2">
      <c r="S564" s="10"/>
    </row>
    <row r="565" spans="19:19" x14ac:dyDescent="0.2">
      <c r="S565" s="10"/>
    </row>
    <row r="567" spans="19:19" x14ac:dyDescent="0.2">
      <c r="S567" s="10"/>
    </row>
    <row r="568" spans="19:19" x14ac:dyDescent="0.2">
      <c r="S568" s="10"/>
    </row>
    <row r="570" spans="19:19" x14ac:dyDescent="0.2">
      <c r="S570" s="10"/>
    </row>
    <row r="574" spans="19:19" x14ac:dyDescent="0.2">
      <c r="S574" s="10"/>
    </row>
    <row r="575" spans="19:19" x14ac:dyDescent="0.2">
      <c r="S575" s="10"/>
    </row>
    <row r="578" spans="19:19" x14ac:dyDescent="0.2">
      <c r="S578" s="10"/>
    </row>
    <row r="579" spans="19:19" x14ac:dyDescent="0.2">
      <c r="S579" s="10"/>
    </row>
    <row r="580" spans="19:19" x14ac:dyDescent="0.2">
      <c r="S580" s="10"/>
    </row>
    <row r="583" spans="19:19" x14ac:dyDescent="0.2">
      <c r="S583" s="10"/>
    </row>
    <row r="597" spans="19:19" x14ac:dyDescent="0.2">
      <c r="S597" s="10"/>
    </row>
    <row r="598" spans="19:19" x14ac:dyDescent="0.2">
      <c r="S598" s="10"/>
    </row>
    <row r="599" spans="19:19" x14ac:dyDescent="0.2">
      <c r="S599" s="10"/>
    </row>
    <row r="600" spans="19:19" x14ac:dyDescent="0.2">
      <c r="S600" s="10"/>
    </row>
    <row r="601" spans="19:19" x14ac:dyDescent="0.2">
      <c r="S601" s="10"/>
    </row>
    <row r="602" spans="19:19" x14ac:dyDescent="0.2">
      <c r="S602" s="10"/>
    </row>
    <row r="615" spans="19:19" x14ac:dyDescent="0.2">
      <c r="S615" s="10"/>
    </row>
    <row r="623" spans="19:19" x14ac:dyDescent="0.2">
      <c r="S623" s="10"/>
    </row>
    <row r="625" spans="19:19" x14ac:dyDescent="0.2">
      <c r="S625" s="10"/>
    </row>
    <row r="645" spans="19:19" x14ac:dyDescent="0.2">
      <c r="S645" s="10"/>
    </row>
    <row r="660" spans="19:19" x14ac:dyDescent="0.2">
      <c r="S660" s="10"/>
    </row>
    <row r="664" spans="19:19" x14ac:dyDescent="0.2">
      <c r="S664" s="10"/>
    </row>
    <row r="666" spans="19:19" x14ac:dyDescent="0.2">
      <c r="S666" s="10"/>
    </row>
    <row r="674" spans="19:19" x14ac:dyDescent="0.2">
      <c r="S674" s="10"/>
    </row>
    <row r="676" spans="19:19" x14ac:dyDescent="0.2">
      <c r="S676" s="10"/>
    </row>
    <row r="713" spans="19:19" x14ac:dyDescent="0.2">
      <c r="S713" s="10"/>
    </row>
    <row r="738" spans="19:19" x14ac:dyDescent="0.2">
      <c r="S738" s="10"/>
    </row>
    <row r="745" spans="19:19" x14ac:dyDescent="0.2">
      <c r="S745" s="10"/>
    </row>
    <row r="791" spans="19:19" x14ac:dyDescent="0.2">
      <c r="S791" s="10"/>
    </row>
    <row r="793" spans="19:19" x14ac:dyDescent="0.2">
      <c r="S793" s="10"/>
    </row>
    <row r="797" spans="19:19" x14ac:dyDescent="0.2">
      <c r="S797" s="10"/>
    </row>
    <row r="798" spans="19:19" x14ac:dyDescent="0.2">
      <c r="S798" s="10"/>
    </row>
    <row r="804" spans="19:19" x14ac:dyDescent="0.2">
      <c r="S804" s="10"/>
    </row>
    <row r="806" spans="19:19" x14ac:dyDescent="0.2">
      <c r="S806" s="10"/>
    </row>
    <row r="807" spans="19:19" x14ac:dyDescent="0.2">
      <c r="S807" s="10"/>
    </row>
    <row r="830" spans="19:19" x14ac:dyDescent="0.2">
      <c r="S830" s="10"/>
    </row>
    <row r="831" spans="19:19" x14ac:dyDescent="0.2">
      <c r="S831" s="10"/>
    </row>
    <row r="832" spans="19:19" x14ac:dyDescent="0.2">
      <c r="S832" s="10"/>
    </row>
    <row r="833" spans="19:19" x14ac:dyDescent="0.2">
      <c r="S833" s="10"/>
    </row>
    <row r="834" spans="19:19" x14ac:dyDescent="0.2">
      <c r="S834" s="10"/>
    </row>
    <row r="836" spans="19:19" x14ac:dyDescent="0.2">
      <c r="S836" s="10"/>
    </row>
    <row r="848" spans="19:19" x14ac:dyDescent="0.2">
      <c r="S848" s="10"/>
    </row>
    <row r="856" spans="19:19" x14ac:dyDescent="0.2">
      <c r="S856" s="10"/>
    </row>
    <row r="857" spans="19:19" x14ac:dyDescent="0.2">
      <c r="S857" s="10"/>
    </row>
    <row r="858" spans="19:19" x14ac:dyDescent="0.2">
      <c r="S858" s="10"/>
    </row>
    <row r="859" spans="19:19" x14ac:dyDescent="0.2">
      <c r="S859" s="10"/>
    </row>
    <row r="860" spans="19:19" x14ac:dyDescent="0.2">
      <c r="S860" s="10"/>
    </row>
    <row r="861" spans="19:19" x14ac:dyDescent="0.2">
      <c r="S861" s="10"/>
    </row>
    <row r="862" spans="19:19" x14ac:dyDescent="0.2">
      <c r="S862" s="10"/>
    </row>
    <row r="863" spans="19:19" x14ac:dyDescent="0.2">
      <c r="S863" s="10"/>
    </row>
    <row r="864" spans="19:19" x14ac:dyDescent="0.2">
      <c r="S864" s="10"/>
    </row>
    <row r="865" spans="19:19" x14ac:dyDescent="0.2">
      <c r="S865" s="10"/>
    </row>
    <row r="868" spans="19:19" x14ac:dyDescent="0.2">
      <c r="S868" s="10"/>
    </row>
    <row r="869" spans="19:19" x14ac:dyDescent="0.2">
      <c r="S869" s="10"/>
    </row>
    <row r="870" spans="19:19" x14ac:dyDescent="0.2">
      <c r="S870" s="10"/>
    </row>
    <row r="871" spans="19:19" x14ac:dyDescent="0.2">
      <c r="S871" s="10"/>
    </row>
    <row r="872" spans="19:19" x14ac:dyDescent="0.2">
      <c r="S872" s="10"/>
    </row>
    <row r="873" spans="19:19" x14ac:dyDescent="0.2">
      <c r="S873" s="10"/>
    </row>
    <row r="909" spans="19:19" x14ac:dyDescent="0.2">
      <c r="S909" s="10"/>
    </row>
    <row r="943" spans="19:19" x14ac:dyDescent="0.2">
      <c r="S943" s="10"/>
    </row>
    <row r="963" spans="19:19" x14ac:dyDescent="0.2">
      <c r="S963" s="10"/>
    </row>
    <row r="964" spans="19:19" x14ac:dyDescent="0.2">
      <c r="S964" s="10"/>
    </row>
    <row r="965" spans="19:19" x14ac:dyDescent="0.2">
      <c r="S965" s="10"/>
    </row>
    <row r="986" spans="19:19" x14ac:dyDescent="0.2">
      <c r="S986" s="10"/>
    </row>
    <row r="987" spans="19:19" x14ac:dyDescent="0.2">
      <c r="S987" s="10"/>
    </row>
    <row r="991" spans="19:19" x14ac:dyDescent="0.2">
      <c r="S991" s="10"/>
    </row>
    <row r="993" spans="19:19" x14ac:dyDescent="0.2">
      <c r="S993" s="10"/>
    </row>
    <row r="994" spans="19:19" x14ac:dyDescent="0.2">
      <c r="S994" s="10"/>
    </row>
    <row r="1000" spans="19:19" x14ac:dyDescent="0.2">
      <c r="S1000" s="10"/>
    </row>
    <row r="1002" spans="19:19" x14ac:dyDescent="0.2">
      <c r="S1002" s="10"/>
    </row>
    <row r="1006" spans="19:19" x14ac:dyDescent="0.2">
      <c r="S1006" s="10"/>
    </row>
    <row r="1050" spans="19:19" x14ac:dyDescent="0.2">
      <c r="S1050" s="10"/>
    </row>
    <row r="1054" spans="19:19" x14ac:dyDescent="0.2">
      <c r="S1054" s="10"/>
    </row>
    <row r="1058" spans="19:19" x14ac:dyDescent="0.2">
      <c r="S1058" s="10"/>
    </row>
    <row r="1070" spans="19:19" x14ac:dyDescent="0.2">
      <c r="S1070" s="10"/>
    </row>
    <row r="1078" spans="19:19" x14ac:dyDescent="0.2">
      <c r="S1078" s="10"/>
    </row>
    <row r="1080" spans="19:19" x14ac:dyDescent="0.2">
      <c r="S1080" s="10"/>
    </row>
    <row r="1081" spans="19:19" x14ac:dyDescent="0.2">
      <c r="S1081" s="10"/>
    </row>
    <row r="1082" spans="19:19" x14ac:dyDescent="0.2">
      <c r="S1082" s="10"/>
    </row>
    <row r="1083" spans="19:19" x14ac:dyDescent="0.2">
      <c r="S1083" s="10"/>
    </row>
    <row r="1099" spans="19:19" x14ac:dyDescent="0.2">
      <c r="S1099" s="10"/>
    </row>
    <row r="1103" spans="19:19" x14ac:dyDescent="0.2">
      <c r="S1103" s="10"/>
    </row>
    <row r="1105" spans="19:19" x14ac:dyDescent="0.2">
      <c r="S1105" s="10"/>
    </row>
    <row r="1107" spans="19:19" x14ac:dyDescent="0.2">
      <c r="S1107" s="10"/>
    </row>
    <row r="1108" spans="19:19" x14ac:dyDescent="0.2">
      <c r="S1108" s="10"/>
    </row>
    <row r="1109" spans="19:19" x14ac:dyDescent="0.2">
      <c r="S1109" s="10"/>
    </row>
    <row r="1110" spans="19:19" x14ac:dyDescent="0.2">
      <c r="S1110" s="10"/>
    </row>
    <row r="1121" spans="19:19" x14ac:dyDescent="0.2">
      <c r="S1121" s="10"/>
    </row>
    <row r="1128" spans="19:19" x14ac:dyDescent="0.2">
      <c r="S1128" s="10"/>
    </row>
    <row r="1159" spans="19:19" x14ac:dyDescent="0.2">
      <c r="S1159" s="10"/>
    </row>
    <row r="1172" spans="19:19" x14ac:dyDescent="0.2">
      <c r="S1172" s="10"/>
    </row>
    <row r="1196" spans="19:19" x14ac:dyDescent="0.2">
      <c r="S1196" s="10"/>
    </row>
    <row r="1228" spans="19:19" x14ac:dyDescent="0.2">
      <c r="S1228" s="10"/>
    </row>
    <row r="1230" spans="19:19" x14ac:dyDescent="0.2">
      <c r="S1230" s="10"/>
    </row>
    <row r="1257" spans="19:19" x14ac:dyDescent="0.2">
      <c r="S1257" s="10"/>
    </row>
    <row r="1286" spans="19:19" x14ac:dyDescent="0.2">
      <c r="S1286" s="10"/>
    </row>
    <row r="1304" spans="19:19" x14ac:dyDescent="0.2">
      <c r="S1304" s="10"/>
    </row>
    <row r="1306" spans="19:19" x14ac:dyDescent="0.2">
      <c r="S1306" s="10"/>
    </row>
    <row r="1321" spans="19:19" x14ac:dyDescent="0.2">
      <c r="S1321" s="10"/>
    </row>
    <row r="1322" spans="19:19" x14ac:dyDescent="0.2">
      <c r="S1322" s="10"/>
    </row>
    <row r="1324" spans="19:19" x14ac:dyDescent="0.2">
      <c r="S1324" s="10"/>
    </row>
    <row r="1333" spans="19:19" x14ac:dyDescent="0.2">
      <c r="S1333" s="10"/>
    </row>
    <row r="1345" spans="19:19" x14ac:dyDescent="0.2">
      <c r="S1345" s="10"/>
    </row>
    <row r="1358" spans="19:19" x14ac:dyDescent="0.2">
      <c r="S1358" s="10"/>
    </row>
    <row r="1359" spans="19:19" x14ac:dyDescent="0.2">
      <c r="S1359" s="10"/>
    </row>
    <row r="1360" spans="19:19" x14ac:dyDescent="0.2">
      <c r="S1360" s="10"/>
    </row>
    <row r="1361" spans="19:19" x14ac:dyDescent="0.2">
      <c r="S1361" s="10"/>
    </row>
    <row r="1428" spans="19:19" x14ac:dyDescent="0.2">
      <c r="S1428" s="10"/>
    </row>
    <row r="1436" spans="19:19" x14ac:dyDescent="0.2">
      <c r="S1436" s="10"/>
    </row>
    <row r="1438" spans="19:19" x14ac:dyDescent="0.2">
      <c r="S1438" s="10"/>
    </row>
    <row r="1440" spans="19:19" x14ac:dyDescent="0.2">
      <c r="S1440" s="10"/>
    </row>
    <row r="1467" spans="19:19" x14ac:dyDescent="0.2">
      <c r="S1467" s="10"/>
    </row>
    <row r="1475" spans="19:19" x14ac:dyDescent="0.2">
      <c r="S1475" s="10"/>
    </row>
    <row r="1477" spans="19:19" x14ac:dyDescent="0.2">
      <c r="S1477" s="10"/>
    </row>
    <row r="1487" spans="19:19" x14ac:dyDescent="0.2">
      <c r="S1487" s="10"/>
    </row>
    <row r="1489" spans="19:19" x14ac:dyDescent="0.2">
      <c r="S1489" s="10"/>
    </row>
    <row r="1498" spans="19:19" x14ac:dyDescent="0.2">
      <c r="S1498" s="10"/>
    </row>
    <row r="1500" spans="19:19" x14ac:dyDescent="0.2">
      <c r="S1500" s="10"/>
    </row>
    <row r="1503" spans="19:19" x14ac:dyDescent="0.2">
      <c r="S1503" s="10"/>
    </row>
    <row r="1504" spans="19:19" x14ac:dyDescent="0.2">
      <c r="S1504" s="10"/>
    </row>
    <row r="1530" spans="19:19" x14ac:dyDescent="0.2">
      <c r="S1530" s="10"/>
    </row>
    <row r="1541" spans="19:19" x14ac:dyDescent="0.2">
      <c r="S1541" s="10"/>
    </row>
    <row r="1560" spans="19:19" x14ac:dyDescent="0.2">
      <c r="S1560" s="10"/>
    </row>
    <row r="1562" spans="19:19" x14ac:dyDescent="0.2">
      <c r="S1562" s="10"/>
    </row>
    <row r="1628" spans="19:19" x14ac:dyDescent="0.2">
      <c r="S1628" s="10"/>
    </row>
    <row r="1629" spans="19:19" x14ac:dyDescent="0.2">
      <c r="S1629" s="10"/>
    </row>
    <row r="1631" spans="19:19" x14ac:dyDescent="0.2">
      <c r="S1631" s="10"/>
    </row>
    <row r="1633" spans="19:19" x14ac:dyDescent="0.2">
      <c r="S1633" s="10"/>
    </row>
    <row r="1634" spans="19:19" x14ac:dyDescent="0.2">
      <c r="S1634" s="10"/>
    </row>
    <row r="1635" spans="19:19" x14ac:dyDescent="0.2">
      <c r="S1635" s="10"/>
    </row>
    <row r="1636" spans="19:19" x14ac:dyDescent="0.2">
      <c r="S1636" s="10"/>
    </row>
    <row r="1637" spans="19:19" x14ac:dyDescent="0.2">
      <c r="S1637" s="10"/>
    </row>
    <row r="1638" spans="19:19" x14ac:dyDescent="0.2">
      <c r="S1638" s="10"/>
    </row>
    <row r="1639" spans="19:19" x14ac:dyDescent="0.2">
      <c r="S1639" s="10"/>
    </row>
    <row r="1640" spans="19:19" x14ac:dyDescent="0.2">
      <c r="S1640" s="10"/>
    </row>
    <row r="1641" spans="19:19" x14ac:dyDescent="0.2">
      <c r="S1641" s="10"/>
    </row>
    <row r="1642" spans="19:19" x14ac:dyDescent="0.2">
      <c r="S1642" s="10"/>
    </row>
    <row r="1643" spans="19:19" x14ac:dyDescent="0.2">
      <c r="S1643" s="10"/>
    </row>
    <row r="1644" spans="19:19" x14ac:dyDescent="0.2">
      <c r="S1644" s="10"/>
    </row>
    <row r="1645" spans="19:19" x14ac:dyDescent="0.2">
      <c r="S1645" s="10"/>
    </row>
    <row r="1646" spans="19:19" x14ac:dyDescent="0.2">
      <c r="S1646" s="10"/>
    </row>
    <row r="1647" spans="19:19" x14ac:dyDescent="0.2">
      <c r="S1647" s="10"/>
    </row>
    <row r="1648" spans="19:19" x14ac:dyDescent="0.2">
      <c r="S1648" s="10"/>
    </row>
    <row r="1649" spans="19:19" x14ac:dyDescent="0.2">
      <c r="S1649" s="10"/>
    </row>
    <row r="1650" spans="19:19" x14ac:dyDescent="0.2">
      <c r="S1650" s="10"/>
    </row>
    <row r="1651" spans="19:19" x14ac:dyDescent="0.2">
      <c r="S1651" s="10"/>
    </row>
    <row r="1652" spans="19:19" x14ac:dyDescent="0.2">
      <c r="S1652" s="10"/>
    </row>
    <row r="1653" spans="19:19" x14ac:dyDescent="0.2">
      <c r="S1653" s="10"/>
    </row>
    <row r="1654" spans="19:19" x14ac:dyDescent="0.2">
      <c r="S1654" s="10"/>
    </row>
    <row r="1655" spans="19:19" x14ac:dyDescent="0.2">
      <c r="S1655" s="10"/>
    </row>
    <row r="1656" spans="19:19" x14ac:dyDescent="0.2">
      <c r="S1656" s="10"/>
    </row>
    <row r="1657" spans="19:19" x14ac:dyDescent="0.2">
      <c r="S1657" s="10"/>
    </row>
    <row r="1658" spans="19:19" x14ac:dyDescent="0.2">
      <c r="S1658" s="10"/>
    </row>
    <row r="1659" spans="19:19" x14ac:dyDescent="0.2">
      <c r="S1659" s="10"/>
    </row>
    <row r="1660" spans="19:19" x14ac:dyDescent="0.2">
      <c r="S1660" s="10"/>
    </row>
    <row r="1661" spans="19:19" x14ac:dyDescent="0.2">
      <c r="S1661" s="10"/>
    </row>
    <row r="1662" spans="19:19" x14ac:dyDescent="0.2">
      <c r="S1662" s="10"/>
    </row>
    <row r="1663" spans="19:19" x14ac:dyDescent="0.2">
      <c r="S1663" s="10"/>
    </row>
    <row r="1664" spans="19:19" x14ac:dyDescent="0.2">
      <c r="S1664" s="10"/>
    </row>
    <row r="1665" spans="19:19" x14ac:dyDescent="0.2">
      <c r="S1665" s="10"/>
    </row>
    <row r="1666" spans="19:19" x14ac:dyDescent="0.2">
      <c r="S1666" s="10"/>
    </row>
    <row r="1667" spans="19:19" x14ac:dyDescent="0.2">
      <c r="S1667" s="10"/>
    </row>
    <row r="1668" spans="19:19" x14ac:dyDescent="0.2">
      <c r="S1668" s="10"/>
    </row>
    <row r="1669" spans="19:19" x14ac:dyDescent="0.2">
      <c r="S1669" s="10"/>
    </row>
    <row r="1670" spans="19:19" x14ac:dyDescent="0.2">
      <c r="S1670" s="10"/>
    </row>
    <row r="1671" spans="19:19" x14ac:dyDescent="0.2">
      <c r="S1671" s="10"/>
    </row>
    <row r="1672" spans="19:19" x14ac:dyDescent="0.2">
      <c r="S1672" s="10"/>
    </row>
    <row r="1673" spans="19:19" x14ac:dyDescent="0.2">
      <c r="S1673" s="10"/>
    </row>
    <row r="1674" spans="19:19" x14ac:dyDescent="0.2">
      <c r="S1674" s="10"/>
    </row>
    <row r="1675" spans="19:19" x14ac:dyDescent="0.2">
      <c r="S1675" s="10"/>
    </row>
    <row r="1676" spans="19:19" x14ac:dyDescent="0.2">
      <c r="S1676" s="10"/>
    </row>
    <row r="1677" spans="19:19" x14ac:dyDescent="0.2">
      <c r="S1677" s="10"/>
    </row>
    <row r="1678" spans="19:19" x14ac:dyDescent="0.2">
      <c r="S1678" s="10"/>
    </row>
    <row r="1679" spans="19:19" x14ac:dyDescent="0.2">
      <c r="S1679" s="10"/>
    </row>
    <row r="1680" spans="19:19" x14ac:dyDescent="0.2">
      <c r="S1680" s="10"/>
    </row>
    <row r="1681" spans="19:19" x14ac:dyDescent="0.2">
      <c r="S1681" s="10"/>
    </row>
    <row r="1682" spans="19:19" x14ac:dyDescent="0.2">
      <c r="S1682" s="10"/>
    </row>
    <row r="1683" spans="19:19" x14ac:dyDescent="0.2">
      <c r="S1683" s="10"/>
    </row>
    <row r="1684" spans="19:19" x14ac:dyDescent="0.2">
      <c r="S1684" s="10"/>
    </row>
    <row r="1685" spans="19:19" x14ac:dyDescent="0.2">
      <c r="S1685" s="10"/>
    </row>
    <row r="1686" spans="19:19" x14ac:dyDescent="0.2">
      <c r="S1686" s="10"/>
    </row>
    <row r="1687" spans="19:19" x14ac:dyDescent="0.2">
      <c r="S1687" s="10"/>
    </row>
    <row r="1688" spans="19:19" x14ac:dyDescent="0.2">
      <c r="S1688" s="10"/>
    </row>
    <row r="1689" spans="19:19" x14ac:dyDescent="0.2">
      <c r="S1689" s="10"/>
    </row>
    <row r="1690" spans="19:19" x14ac:dyDescent="0.2">
      <c r="S1690" s="10"/>
    </row>
    <row r="1691" spans="19:19" x14ac:dyDescent="0.2">
      <c r="S1691" s="10"/>
    </row>
    <row r="1692" spans="19:19" x14ac:dyDescent="0.2">
      <c r="S1692" s="10"/>
    </row>
    <row r="1693" spans="19:19" x14ac:dyDescent="0.2">
      <c r="S1693" s="10"/>
    </row>
    <row r="1694" spans="19:19" x14ac:dyDescent="0.2">
      <c r="S1694" s="10"/>
    </row>
    <row r="1695" spans="19:19" x14ac:dyDescent="0.2">
      <c r="S1695" s="10"/>
    </row>
    <row r="1696" spans="19:19" x14ac:dyDescent="0.2">
      <c r="S1696" s="10"/>
    </row>
    <row r="1697" spans="19:19" x14ac:dyDescent="0.2">
      <c r="S1697" s="10"/>
    </row>
    <row r="1698" spans="19:19" x14ac:dyDescent="0.2">
      <c r="S1698" s="10"/>
    </row>
    <row r="1699" spans="19:19" x14ac:dyDescent="0.2">
      <c r="S1699" s="10"/>
    </row>
    <row r="1700" spans="19:19" x14ac:dyDescent="0.2">
      <c r="S1700" s="10"/>
    </row>
    <row r="1701" spans="19:19" x14ac:dyDescent="0.2">
      <c r="S1701" s="10"/>
    </row>
    <row r="1702" spans="19:19" x14ac:dyDescent="0.2">
      <c r="S1702" s="10"/>
    </row>
    <row r="1713" spans="19:19" x14ac:dyDescent="0.2">
      <c r="S1713" s="10"/>
    </row>
    <row r="1767" spans="19:19" x14ac:dyDescent="0.2">
      <c r="S1767" s="10"/>
    </row>
    <row r="1768" spans="19:19" x14ac:dyDescent="0.2">
      <c r="S1768" s="10"/>
    </row>
    <row r="1769" spans="19:19" x14ac:dyDescent="0.2">
      <c r="S1769" s="10"/>
    </row>
    <row r="1770" spans="19:19" x14ac:dyDescent="0.2">
      <c r="S1770" s="10"/>
    </row>
    <row r="1772" spans="19:19" x14ac:dyDescent="0.2">
      <c r="S1772" s="10"/>
    </row>
    <row r="1776" spans="19:19" x14ac:dyDescent="0.2">
      <c r="S1776" s="10"/>
    </row>
    <row r="1793" spans="19:19" x14ac:dyDescent="0.2">
      <c r="S1793" s="10"/>
    </row>
    <row r="1801" spans="19:19" x14ac:dyDescent="0.2">
      <c r="S1801" s="10"/>
    </row>
    <row r="1802" spans="19:19" x14ac:dyDescent="0.2">
      <c r="S1802" s="10"/>
    </row>
    <row r="1803" spans="19:19" x14ac:dyDescent="0.2">
      <c r="S1803" s="10"/>
    </row>
    <row r="1804" spans="19:19" x14ac:dyDescent="0.2">
      <c r="S1804" s="10"/>
    </row>
    <row r="1805" spans="19:19" x14ac:dyDescent="0.2">
      <c r="S1805" s="10"/>
    </row>
    <row r="1806" spans="19:19" x14ac:dyDescent="0.2">
      <c r="S1806" s="10"/>
    </row>
    <row r="1856" spans="19:19" x14ac:dyDescent="0.2">
      <c r="S1856" s="10"/>
    </row>
    <row r="1864" spans="19:19" x14ac:dyDescent="0.2">
      <c r="S1864" s="10"/>
    </row>
    <row r="1870" spans="19:19" x14ac:dyDescent="0.2">
      <c r="S1870" s="10"/>
    </row>
    <row r="1887" spans="19:19" x14ac:dyDescent="0.2">
      <c r="S1887" s="10"/>
    </row>
    <row r="1888" spans="19:19" x14ac:dyDescent="0.2">
      <c r="S1888" s="10"/>
    </row>
    <row r="1889" spans="19:19" x14ac:dyDescent="0.2">
      <c r="S1889" s="10"/>
    </row>
    <row r="1890" spans="19:19" x14ac:dyDescent="0.2">
      <c r="S1890" s="10"/>
    </row>
    <row r="1891" spans="19:19" x14ac:dyDescent="0.2">
      <c r="S1891" s="10"/>
    </row>
    <row r="1892" spans="19:19" x14ac:dyDescent="0.2">
      <c r="S1892" s="10"/>
    </row>
    <row r="1924" spans="19:19" x14ac:dyDescent="0.2">
      <c r="S1924" s="10"/>
    </row>
    <row r="1966" spans="19:19" x14ac:dyDescent="0.2">
      <c r="S1966" s="10"/>
    </row>
    <row r="1973" spans="19:19" x14ac:dyDescent="0.2">
      <c r="S1973" s="10"/>
    </row>
    <row r="1986" spans="19:19" x14ac:dyDescent="0.2">
      <c r="S1986" s="10"/>
    </row>
    <row r="1994" spans="19:19" x14ac:dyDescent="0.2">
      <c r="S1994" s="10"/>
    </row>
    <row r="2071" spans="19:19" x14ac:dyDescent="0.2">
      <c r="S2071" s="10"/>
    </row>
    <row r="2083" spans="19:19" x14ac:dyDescent="0.2">
      <c r="S2083" s="10"/>
    </row>
    <row r="2087" spans="19:19" x14ac:dyDescent="0.2">
      <c r="S2087" s="10"/>
    </row>
    <row r="2099" spans="19:19" x14ac:dyDescent="0.2">
      <c r="S2099" s="10"/>
    </row>
    <row r="2113" spans="19:19" x14ac:dyDescent="0.2">
      <c r="S2113" s="10"/>
    </row>
    <row r="2114" spans="19:19" x14ac:dyDescent="0.2">
      <c r="S2114" s="10"/>
    </row>
    <row r="2151" spans="19:19" x14ac:dyDescent="0.2">
      <c r="S2151" s="10"/>
    </row>
    <row r="2152" spans="19:19" x14ac:dyDescent="0.2">
      <c r="S2152" s="10"/>
    </row>
    <row r="2174" spans="19:19" x14ac:dyDescent="0.2">
      <c r="S2174" s="10"/>
    </row>
    <row r="2176" spans="19:19" x14ac:dyDescent="0.2">
      <c r="S2176" s="10"/>
    </row>
    <row r="2197" spans="19:19" x14ac:dyDescent="0.2">
      <c r="S2197" s="10"/>
    </row>
    <row r="2198" spans="19:19" x14ac:dyDescent="0.2">
      <c r="S2198" s="10"/>
    </row>
    <row r="2199" spans="19:19" x14ac:dyDescent="0.2">
      <c r="S2199" s="10"/>
    </row>
    <row r="2201" spans="19:19" x14ac:dyDescent="0.2">
      <c r="S2201" s="10"/>
    </row>
    <row r="2203" spans="19:19" x14ac:dyDescent="0.2">
      <c r="S2203" s="10"/>
    </row>
    <row r="2297" spans="19:19" x14ac:dyDescent="0.2">
      <c r="S2297" s="10"/>
    </row>
    <row r="2314" spans="19:19" x14ac:dyDescent="0.2">
      <c r="S2314" s="10"/>
    </row>
    <row r="2316" spans="19:19" x14ac:dyDescent="0.2">
      <c r="S2316" s="10"/>
    </row>
    <row r="2325" spans="19:19" x14ac:dyDescent="0.2">
      <c r="S2325" s="10"/>
    </row>
    <row r="2334" spans="19:19" x14ac:dyDescent="0.2">
      <c r="S2334" s="10"/>
    </row>
    <row r="2343" spans="19:19" x14ac:dyDescent="0.2">
      <c r="S2343" s="10"/>
    </row>
    <row r="2362" spans="19:19" x14ac:dyDescent="0.2">
      <c r="S2362" s="10"/>
    </row>
    <row r="2383" spans="19:19" x14ac:dyDescent="0.2">
      <c r="S2383" s="10"/>
    </row>
    <row r="2395" spans="19:19" x14ac:dyDescent="0.2">
      <c r="S2395" s="10"/>
    </row>
    <row r="2399" spans="19:19" x14ac:dyDescent="0.2">
      <c r="S2399" s="10"/>
    </row>
    <row r="2407" spans="19:19" x14ac:dyDescent="0.2">
      <c r="S2407" s="10"/>
    </row>
    <row r="2408" spans="19:19" x14ac:dyDescent="0.2">
      <c r="S2408" s="10"/>
    </row>
    <row r="2409" spans="19:19" x14ac:dyDescent="0.2">
      <c r="S2409" s="10"/>
    </row>
    <row r="2410" spans="19:19" x14ac:dyDescent="0.2">
      <c r="S2410" s="10"/>
    </row>
    <row r="2412" spans="19:19" x14ac:dyDescent="0.2">
      <c r="S2412" s="10"/>
    </row>
    <row r="2456" spans="19:19" x14ac:dyDescent="0.2">
      <c r="S2456" s="10"/>
    </row>
    <row r="2464" spans="19:19" x14ac:dyDescent="0.2">
      <c r="S2464" s="10"/>
    </row>
    <row r="2479" spans="19:19" x14ac:dyDescent="0.2">
      <c r="S2479" s="10"/>
    </row>
    <row r="2491" spans="19:19" x14ac:dyDescent="0.2">
      <c r="S2491" s="10"/>
    </row>
    <row r="2495" spans="19:19" x14ac:dyDescent="0.2">
      <c r="S2495" s="10"/>
    </row>
    <row r="2497" spans="19:19" x14ac:dyDescent="0.2">
      <c r="S2497" s="10"/>
    </row>
    <row r="2591" spans="19:19" x14ac:dyDescent="0.2">
      <c r="S2591" s="10"/>
    </row>
    <row r="2595" spans="19:19" x14ac:dyDescent="0.2">
      <c r="S2595" s="10"/>
    </row>
    <row r="2628" spans="19:19" x14ac:dyDescent="0.2">
      <c r="S2628" s="10"/>
    </row>
    <row r="2630" spans="19:19" x14ac:dyDescent="0.2">
      <c r="S2630" s="10"/>
    </row>
    <row r="2631" spans="19:19" x14ac:dyDescent="0.2">
      <c r="S2631" s="10"/>
    </row>
    <row r="2632" spans="19:19" x14ac:dyDescent="0.2">
      <c r="S2632" s="10"/>
    </row>
    <row r="2633" spans="19:19" x14ac:dyDescent="0.2">
      <c r="S2633" s="10"/>
    </row>
    <row r="2634" spans="19:19" x14ac:dyDescent="0.2">
      <c r="S2634" s="10"/>
    </row>
    <row r="2635" spans="19:19" x14ac:dyDescent="0.2">
      <c r="S2635" s="10"/>
    </row>
    <row r="2636" spans="19:19" x14ac:dyDescent="0.2">
      <c r="S2636" s="10"/>
    </row>
    <row r="2637" spans="19:19" x14ac:dyDescent="0.2">
      <c r="S2637" s="10"/>
    </row>
    <row r="2638" spans="19:19" x14ac:dyDescent="0.2">
      <c r="S2638" s="10"/>
    </row>
    <row r="2639" spans="19:19" x14ac:dyDescent="0.2">
      <c r="S2639" s="10"/>
    </row>
    <row r="2640" spans="19:19" x14ac:dyDescent="0.2">
      <c r="S2640" s="10"/>
    </row>
    <row r="2641" spans="19:19" x14ac:dyDescent="0.2">
      <c r="S2641" s="10"/>
    </row>
    <row r="2642" spans="19:19" x14ac:dyDescent="0.2">
      <c r="S2642" s="10"/>
    </row>
    <row r="2643" spans="19:19" x14ac:dyDescent="0.2">
      <c r="S2643" s="10"/>
    </row>
    <row r="2644" spans="19:19" x14ac:dyDescent="0.2">
      <c r="S2644" s="10"/>
    </row>
    <row r="2645" spans="19:19" x14ac:dyDescent="0.2">
      <c r="S2645" s="10"/>
    </row>
    <row r="2647" spans="19:19" x14ac:dyDescent="0.2">
      <c r="S2647" s="10"/>
    </row>
    <row r="2677" spans="19:19" x14ac:dyDescent="0.2">
      <c r="S2677" s="10"/>
    </row>
    <row r="2678" spans="19:19" x14ac:dyDescent="0.2">
      <c r="S2678" s="10"/>
    </row>
    <row r="2684" spans="19:19" x14ac:dyDescent="0.2">
      <c r="S2684" s="10"/>
    </row>
    <row r="2703" spans="19:19" x14ac:dyDescent="0.2">
      <c r="S2703" s="10"/>
    </row>
    <row r="2704" spans="19:19" x14ac:dyDescent="0.2">
      <c r="S2704" s="10"/>
    </row>
    <row r="2705" spans="19:19" x14ac:dyDescent="0.2">
      <c r="S2705" s="10"/>
    </row>
    <row r="2706" spans="19:19" x14ac:dyDescent="0.2">
      <c r="S2706" s="10"/>
    </row>
    <row r="2707" spans="19:19" x14ac:dyDescent="0.2">
      <c r="S2707" s="10"/>
    </row>
    <row r="2708" spans="19:19" x14ac:dyDescent="0.2">
      <c r="S2708" s="10"/>
    </row>
    <row r="2709" spans="19:19" x14ac:dyDescent="0.2">
      <c r="S2709" s="10"/>
    </row>
    <row r="2710" spans="19:19" x14ac:dyDescent="0.2">
      <c r="S2710" s="10"/>
    </row>
    <row r="2711" spans="19:19" x14ac:dyDescent="0.2">
      <c r="S2711" s="10"/>
    </row>
    <row r="2765" spans="19:19" x14ac:dyDescent="0.2">
      <c r="S2765" s="10"/>
    </row>
    <row r="2766" spans="19:19" x14ac:dyDescent="0.2">
      <c r="S2766" s="10"/>
    </row>
    <row r="2767" spans="19:19" x14ac:dyDescent="0.2">
      <c r="S2767" s="10"/>
    </row>
    <row r="2768" spans="19:19" x14ac:dyDescent="0.2">
      <c r="S2768" s="10"/>
    </row>
    <row r="2776" spans="19:19" x14ac:dyDescent="0.2">
      <c r="S2776" s="10"/>
    </row>
    <row r="2785" spans="19:19" x14ac:dyDescent="0.2">
      <c r="S2785" s="10"/>
    </row>
    <row r="2794" spans="19:19" x14ac:dyDescent="0.2">
      <c r="S2794" s="10"/>
    </row>
    <row r="2825" spans="19:19" x14ac:dyDescent="0.2">
      <c r="S2825" s="10"/>
    </row>
    <row r="2863" spans="19:19" x14ac:dyDescent="0.2">
      <c r="S2863" s="10"/>
    </row>
    <row r="2888" spans="19:19" x14ac:dyDescent="0.2">
      <c r="S2888" s="10"/>
    </row>
    <row r="2893" spans="19:19" x14ac:dyDescent="0.2">
      <c r="S2893" s="10"/>
    </row>
    <row r="2894" spans="19:19" x14ac:dyDescent="0.2">
      <c r="S2894" s="10"/>
    </row>
    <row r="2905" spans="19:19" x14ac:dyDescent="0.2">
      <c r="S2905" s="10"/>
    </row>
    <row r="2924" spans="19:19" x14ac:dyDescent="0.2">
      <c r="S2924" s="10"/>
    </row>
    <row r="2927" spans="19:19" x14ac:dyDescent="0.2">
      <c r="S2927" s="10"/>
    </row>
    <row r="2944" spans="19:19" x14ac:dyDescent="0.2">
      <c r="S2944" s="10"/>
    </row>
    <row r="3031" spans="19:19" x14ac:dyDescent="0.2">
      <c r="S3031" s="10"/>
    </row>
    <row r="3062" spans="19:19" x14ac:dyDescent="0.2">
      <c r="S3062" s="10"/>
    </row>
    <row r="3063" spans="19:19" x14ac:dyDescent="0.2">
      <c r="S3063" s="10"/>
    </row>
    <row r="3065" spans="19:19" x14ac:dyDescent="0.2">
      <c r="S3065" s="10"/>
    </row>
    <row r="3067" spans="19:19" x14ac:dyDescent="0.2">
      <c r="S3067" s="10"/>
    </row>
    <row r="3068" spans="19:19" x14ac:dyDescent="0.2">
      <c r="S3068" s="10"/>
    </row>
    <row r="3069" spans="19:19" x14ac:dyDescent="0.2">
      <c r="S3069" s="10"/>
    </row>
    <row r="3072" spans="19:19" x14ac:dyDescent="0.2">
      <c r="S3072" s="10"/>
    </row>
    <row r="3073" spans="19:19" x14ac:dyDescent="0.2">
      <c r="S3073" s="10"/>
    </row>
    <row r="3074" spans="19:19" x14ac:dyDescent="0.2">
      <c r="S3074" s="10"/>
    </row>
    <row r="3075" spans="19:19" x14ac:dyDescent="0.2">
      <c r="S3075" s="10"/>
    </row>
    <row r="3135" spans="19:19" x14ac:dyDescent="0.2">
      <c r="S3135" s="10"/>
    </row>
    <row r="3281" spans="19:19" x14ac:dyDescent="0.2">
      <c r="S3281" s="10"/>
    </row>
    <row r="3285" spans="19:19" x14ac:dyDescent="0.2">
      <c r="S3285" s="10"/>
    </row>
    <row r="3287" spans="19:19" x14ac:dyDescent="0.2">
      <c r="S3287" s="10"/>
    </row>
    <row r="3289" spans="19:19" x14ac:dyDescent="0.2">
      <c r="S3289" s="10"/>
    </row>
    <row r="3291" spans="19:19" x14ac:dyDescent="0.2">
      <c r="S3291" s="10"/>
    </row>
    <row r="3293" spans="19:19" x14ac:dyDescent="0.2">
      <c r="S3293" s="10"/>
    </row>
    <row r="3296" spans="19:19" x14ac:dyDescent="0.2">
      <c r="S3296" s="10"/>
    </row>
    <row r="3299" spans="19:19" x14ac:dyDescent="0.2">
      <c r="S3299" s="10"/>
    </row>
    <row r="3302" spans="19:19" x14ac:dyDescent="0.2">
      <c r="S3302" s="10"/>
    </row>
    <row r="3303" spans="19:19" x14ac:dyDescent="0.2">
      <c r="S3303" s="10"/>
    </row>
    <row r="3305" spans="19:19" x14ac:dyDescent="0.2">
      <c r="S3305" s="10"/>
    </row>
    <row r="3306" spans="19:19" x14ac:dyDescent="0.2">
      <c r="S3306" s="10"/>
    </row>
    <row r="3309" spans="19:19" x14ac:dyDescent="0.2">
      <c r="S3309" s="10"/>
    </row>
    <row r="3312" spans="19:19" x14ac:dyDescent="0.2">
      <c r="S3312" s="10"/>
    </row>
    <row r="3313" spans="19:19" x14ac:dyDescent="0.2">
      <c r="S3313" s="10"/>
    </row>
    <row r="3314" spans="19:19" x14ac:dyDescent="0.2">
      <c r="S3314" s="10"/>
    </row>
    <row r="3315" spans="19:19" x14ac:dyDescent="0.2">
      <c r="S3315" s="10"/>
    </row>
    <row r="3330" spans="19:19" x14ac:dyDescent="0.2">
      <c r="S3330" s="10"/>
    </row>
    <row r="3371" spans="19:19" x14ac:dyDescent="0.2">
      <c r="S3371" s="10"/>
    </row>
    <row r="3384" spans="19:19" x14ac:dyDescent="0.2">
      <c r="S3384" s="10"/>
    </row>
    <row r="3423" spans="19:19" x14ac:dyDescent="0.2">
      <c r="S3423" s="10"/>
    </row>
    <row r="3429" spans="19:19" x14ac:dyDescent="0.2">
      <c r="S3429" s="10"/>
    </row>
    <row r="3445" spans="19:19" x14ac:dyDescent="0.2">
      <c r="S3445" s="10"/>
    </row>
    <row r="3448" spans="19:19" x14ac:dyDescent="0.2">
      <c r="S3448" s="10"/>
    </row>
    <row r="3449" spans="19:19" x14ac:dyDescent="0.2">
      <c r="S3449" s="10"/>
    </row>
    <row r="3451" spans="19:19" x14ac:dyDescent="0.2">
      <c r="S3451" s="10"/>
    </row>
    <row r="3452" spans="19:19" x14ac:dyDescent="0.2">
      <c r="S3452" s="10"/>
    </row>
    <row r="3455" spans="19:19" x14ac:dyDescent="0.2">
      <c r="S3455" s="10"/>
    </row>
    <row r="3460" spans="19:19" x14ac:dyDescent="0.2">
      <c r="S3460" s="10"/>
    </row>
    <row r="3461" spans="19:19" x14ac:dyDescent="0.2">
      <c r="S3461" s="10"/>
    </row>
    <row r="3462" spans="19:19" x14ac:dyDescent="0.2">
      <c r="S3462" s="10"/>
    </row>
    <row r="3463" spans="19:19" x14ac:dyDescent="0.2">
      <c r="S3463" s="10"/>
    </row>
    <row r="3464" spans="19:19" x14ac:dyDescent="0.2">
      <c r="S3464" s="10"/>
    </row>
    <row r="3465" spans="19:19" x14ac:dyDescent="0.2">
      <c r="S3465" s="10"/>
    </row>
    <row r="3466" spans="19:19" x14ac:dyDescent="0.2">
      <c r="S3466" s="10"/>
    </row>
    <row r="3467" spans="19:19" x14ac:dyDescent="0.2">
      <c r="S3467" s="10"/>
    </row>
    <row r="3468" spans="19:19" x14ac:dyDescent="0.2">
      <c r="S3468" s="10"/>
    </row>
    <row r="3469" spans="19:19" x14ac:dyDescent="0.2">
      <c r="S3469" s="10"/>
    </row>
    <row r="3480" spans="19:19" x14ac:dyDescent="0.2">
      <c r="S3480" s="10"/>
    </row>
    <row r="3490" spans="19:19" x14ac:dyDescent="0.2">
      <c r="S3490" s="10"/>
    </row>
    <row r="3491" spans="19:19" x14ac:dyDescent="0.2">
      <c r="S3491" s="10"/>
    </row>
    <row r="3509" spans="19:19" x14ac:dyDescent="0.2">
      <c r="S3509" s="10"/>
    </row>
    <row r="3550" spans="19:19" x14ac:dyDescent="0.2">
      <c r="S3550" s="10"/>
    </row>
    <row r="3562" spans="19:19" x14ac:dyDescent="0.2">
      <c r="S3562" s="10"/>
    </row>
    <row r="3566" spans="19:19" x14ac:dyDescent="0.2">
      <c r="S3566" s="10"/>
    </row>
    <row r="3587" spans="19:19" x14ac:dyDescent="0.2">
      <c r="S3587" s="10"/>
    </row>
    <row r="3590" spans="19:19" x14ac:dyDescent="0.2">
      <c r="S3590" s="10"/>
    </row>
    <row r="3617" spans="19:19" x14ac:dyDescent="0.2">
      <c r="S3617" s="10"/>
    </row>
    <row r="3643" spans="19:19" x14ac:dyDescent="0.2">
      <c r="S3643" s="10"/>
    </row>
    <row r="3650" spans="19:19" x14ac:dyDescent="0.2">
      <c r="S3650" s="10"/>
    </row>
    <row r="3652" spans="19:19" x14ac:dyDescent="0.2">
      <c r="S3652" s="10"/>
    </row>
    <row r="3671" spans="19:19" x14ac:dyDescent="0.2">
      <c r="S3671" s="10"/>
    </row>
    <row r="3711" spans="19:19" x14ac:dyDescent="0.2">
      <c r="S3711" s="10"/>
    </row>
    <row r="3712" spans="19:19" x14ac:dyDescent="0.2">
      <c r="S3712" s="10"/>
    </row>
    <row r="3724" spans="19:19" x14ac:dyDescent="0.2">
      <c r="S3724" s="10"/>
    </row>
    <row r="3742" spans="19:19" x14ac:dyDescent="0.2">
      <c r="S3742" s="10"/>
    </row>
    <row r="3743" spans="19:19" x14ac:dyDescent="0.2">
      <c r="S3743" s="10"/>
    </row>
    <row r="3744" spans="19:19" x14ac:dyDescent="0.2">
      <c r="S3744" s="10"/>
    </row>
    <row r="3750" spans="19:19" x14ac:dyDescent="0.2">
      <c r="S3750" s="10"/>
    </row>
    <row r="3760" spans="19:19" x14ac:dyDescent="0.2">
      <c r="S3760" s="10"/>
    </row>
    <row r="3780" spans="19:19" x14ac:dyDescent="0.2">
      <c r="S3780" s="10"/>
    </row>
    <row r="3852" spans="19:19" x14ac:dyDescent="0.2">
      <c r="S3852" s="10"/>
    </row>
    <row r="3871" spans="19:19" x14ac:dyDescent="0.2">
      <c r="S3871" s="10"/>
    </row>
    <row r="3877" spans="19:19" x14ac:dyDescent="0.2">
      <c r="S3877" s="10"/>
    </row>
    <row r="3879" spans="19:19" x14ac:dyDescent="0.2">
      <c r="S3879" s="10"/>
    </row>
    <row r="3894" spans="19:19" x14ac:dyDescent="0.2">
      <c r="S3894" s="10"/>
    </row>
    <row r="3900" spans="19:19" x14ac:dyDescent="0.2">
      <c r="S3900" s="10"/>
    </row>
    <row r="3901" spans="19:19" x14ac:dyDescent="0.2">
      <c r="S3901" s="10"/>
    </row>
    <row r="3903" spans="19:19" x14ac:dyDescent="0.2">
      <c r="S3903" s="10"/>
    </row>
    <row r="3911" spans="19:19" x14ac:dyDescent="0.2">
      <c r="S3911" s="10"/>
    </row>
    <row r="3913" spans="19:19" x14ac:dyDescent="0.2">
      <c r="S3913" s="10"/>
    </row>
    <row r="3949" spans="19:19" x14ac:dyDescent="0.2">
      <c r="S3949" s="10"/>
    </row>
    <row r="3993" spans="19:19" x14ac:dyDescent="0.2">
      <c r="S3993" s="10"/>
    </row>
    <row r="3996" spans="19:19" x14ac:dyDescent="0.2">
      <c r="S3996" s="10"/>
    </row>
    <row r="4012" spans="19:19" x14ac:dyDescent="0.2">
      <c r="S4012" s="10"/>
    </row>
    <row r="4031" spans="19:19" x14ac:dyDescent="0.2">
      <c r="S4031" s="10"/>
    </row>
    <row r="4034" spans="19:19" x14ac:dyDescent="0.2">
      <c r="S4034" s="10"/>
    </row>
    <row r="4051" spans="19:19" x14ac:dyDescent="0.2">
      <c r="S4051" s="10"/>
    </row>
    <row r="4072" spans="19:19" x14ac:dyDescent="0.2">
      <c r="S4072" s="10"/>
    </row>
    <row r="4104" spans="19:19" x14ac:dyDescent="0.2">
      <c r="S4104" s="10"/>
    </row>
    <row r="4106" spans="19:19" x14ac:dyDescent="0.2">
      <c r="S4106" s="10"/>
    </row>
    <row r="4133" spans="19:19" x14ac:dyDescent="0.2">
      <c r="S4133" s="10"/>
    </row>
    <row r="4229" spans="19:19" x14ac:dyDescent="0.2">
      <c r="S4229" s="10"/>
    </row>
    <row r="4230" spans="19:19" x14ac:dyDescent="0.2">
      <c r="S4230" s="10"/>
    </row>
    <row r="4231" spans="19:19" x14ac:dyDescent="0.2">
      <c r="S4231" s="10"/>
    </row>
    <row r="4241" spans="19:19" x14ac:dyDescent="0.2">
      <c r="S4241" s="10"/>
    </row>
    <row r="4261" spans="19:19" x14ac:dyDescent="0.2">
      <c r="S4261" s="10"/>
    </row>
    <row r="4281" spans="19:19" x14ac:dyDescent="0.2">
      <c r="S4281" s="10"/>
    </row>
    <row r="4308" spans="19:19" x14ac:dyDescent="0.2">
      <c r="S4308" s="10"/>
    </row>
    <row r="4336" spans="19:19" x14ac:dyDescent="0.2">
      <c r="S4336" s="10"/>
    </row>
    <row r="4432" spans="19:19" x14ac:dyDescent="0.2">
      <c r="S4432" s="10"/>
    </row>
    <row r="4433" spans="19:19" x14ac:dyDescent="0.2">
      <c r="S4433" s="10"/>
    </row>
    <row r="4434" spans="19:19" x14ac:dyDescent="0.2">
      <c r="S4434" s="10"/>
    </row>
    <row r="4435" spans="19:19" x14ac:dyDescent="0.2">
      <c r="S4435" s="10"/>
    </row>
    <row r="4438" spans="19:19" x14ac:dyDescent="0.2">
      <c r="S4438" s="10"/>
    </row>
    <row r="4439" spans="19:19" x14ac:dyDescent="0.2">
      <c r="S4439" s="10"/>
    </row>
    <row r="4440" spans="19:19" x14ac:dyDescent="0.2">
      <c r="S4440" s="10"/>
    </row>
    <row r="4441" spans="19:19" x14ac:dyDescent="0.2">
      <c r="S4441" s="10"/>
    </row>
    <row r="4442" spans="19:19" x14ac:dyDescent="0.2">
      <c r="S4442" s="10"/>
    </row>
    <row r="4445" spans="19:19" x14ac:dyDescent="0.2">
      <c r="S4445" s="10"/>
    </row>
    <row r="4446" spans="19:19" x14ac:dyDescent="0.2">
      <c r="S4446" s="10"/>
    </row>
    <row r="4447" spans="19:19" x14ac:dyDescent="0.2">
      <c r="S4447" s="10"/>
    </row>
    <row r="4448" spans="19:19" x14ac:dyDescent="0.2">
      <c r="S4448" s="10"/>
    </row>
    <row r="4449" spans="19:19" x14ac:dyDescent="0.2">
      <c r="S4449" s="10"/>
    </row>
    <row r="4450" spans="19:19" x14ac:dyDescent="0.2">
      <c r="S4450" s="10"/>
    </row>
    <row r="4451" spans="19:19" x14ac:dyDescent="0.2">
      <c r="S4451" s="10"/>
    </row>
    <row r="4454" spans="19:19" x14ac:dyDescent="0.2">
      <c r="S4454" s="10"/>
    </row>
    <row r="4455" spans="19:19" x14ac:dyDescent="0.2">
      <c r="S4455" s="10"/>
    </row>
    <row r="4456" spans="19:19" x14ac:dyDescent="0.2">
      <c r="S4456" s="10"/>
    </row>
    <row r="4457" spans="19:19" x14ac:dyDescent="0.2">
      <c r="S4457" s="10"/>
    </row>
    <row r="4501" spans="19:19" x14ac:dyDescent="0.2">
      <c r="S4501" s="10"/>
    </row>
    <row r="4502" spans="19:19" x14ac:dyDescent="0.2">
      <c r="S4502" s="10"/>
    </row>
    <row r="4504" spans="19:19" x14ac:dyDescent="0.2">
      <c r="S4504" s="10"/>
    </row>
    <row r="4508" spans="19:19" x14ac:dyDescent="0.2">
      <c r="S4508" s="10"/>
    </row>
    <row r="4509" spans="19:19" x14ac:dyDescent="0.2">
      <c r="S4509" s="10"/>
    </row>
    <row r="4511" spans="19:19" x14ac:dyDescent="0.2">
      <c r="S4511" s="10"/>
    </row>
    <row r="4512" spans="19:19" x14ac:dyDescent="0.2">
      <c r="S4512" s="10"/>
    </row>
    <row r="4513" spans="19:19" x14ac:dyDescent="0.2">
      <c r="S4513" s="10"/>
    </row>
    <row r="4514" spans="19:19" x14ac:dyDescent="0.2">
      <c r="S4514" s="10"/>
    </row>
    <row r="4515" spans="19:19" x14ac:dyDescent="0.2">
      <c r="S4515" s="10"/>
    </row>
    <row r="4521" spans="19:19" x14ac:dyDescent="0.2">
      <c r="S4521" s="10"/>
    </row>
    <row r="4554" spans="19:19" x14ac:dyDescent="0.2">
      <c r="S4554" s="10"/>
    </row>
    <row r="4555" spans="19:19" x14ac:dyDescent="0.2">
      <c r="S4555" s="10"/>
    </row>
    <row r="4556" spans="19:19" x14ac:dyDescent="0.2">
      <c r="S4556" s="10"/>
    </row>
    <row r="4559" spans="19:19" x14ac:dyDescent="0.2">
      <c r="S4559" s="10"/>
    </row>
    <row r="4560" spans="19:19" x14ac:dyDescent="0.2">
      <c r="S4560" s="10"/>
    </row>
    <row r="4561" spans="19:19" x14ac:dyDescent="0.2">
      <c r="S4561" s="10"/>
    </row>
    <row r="4562" spans="19:19" x14ac:dyDescent="0.2">
      <c r="S4562" s="10"/>
    </row>
    <row r="4563" spans="19:19" x14ac:dyDescent="0.2">
      <c r="S4563" s="10"/>
    </row>
    <row r="4564" spans="19:19" x14ac:dyDescent="0.2">
      <c r="S4564" s="10"/>
    </row>
    <row r="4565" spans="19:19" x14ac:dyDescent="0.2">
      <c r="S4565" s="10"/>
    </row>
    <row r="4566" spans="19:19" x14ac:dyDescent="0.2">
      <c r="S4566" s="10"/>
    </row>
    <row r="4576" spans="19:19" x14ac:dyDescent="0.2">
      <c r="S4576" s="10"/>
    </row>
    <row r="4622" spans="19:19" x14ac:dyDescent="0.2">
      <c r="S4622" s="10"/>
    </row>
    <row r="4636" spans="19:19" x14ac:dyDescent="0.2">
      <c r="S4636" s="10"/>
    </row>
    <row r="4639" spans="19:19" x14ac:dyDescent="0.2">
      <c r="S4639" s="10"/>
    </row>
    <row r="4646" spans="19:19" x14ac:dyDescent="0.2">
      <c r="S4646" s="10"/>
    </row>
    <row r="4669" spans="19:19" x14ac:dyDescent="0.2">
      <c r="S4669" s="10"/>
    </row>
    <row r="4670" spans="19:19" x14ac:dyDescent="0.2">
      <c r="S4670" s="10"/>
    </row>
    <row r="4702" spans="19:19" x14ac:dyDescent="0.2">
      <c r="S4702" s="10"/>
    </row>
    <row r="4783" spans="19:19" x14ac:dyDescent="0.2">
      <c r="S4783" s="10"/>
    </row>
    <row r="4785" spans="19:19" x14ac:dyDescent="0.2">
      <c r="S4785" s="10"/>
    </row>
    <row r="4789" spans="19:19" x14ac:dyDescent="0.2">
      <c r="S4789" s="10"/>
    </row>
    <row r="4792" spans="19:19" x14ac:dyDescent="0.2">
      <c r="S4792" s="10"/>
    </row>
    <row r="4794" spans="19:19" x14ac:dyDescent="0.2">
      <c r="S4794" s="10"/>
    </row>
    <row r="4796" spans="19:19" x14ac:dyDescent="0.2">
      <c r="S4796" s="10"/>
    </row>
    <row r="4817" spans="19:19" x14ac:dyDescent="0.2">
      <c r="S4817" s="10"/>
    </row>
    <row r="4818" spans="19:19" x14ac:dyDescent="0.2">
      <c r="S4818" s="10"/>
    </row>
    <row r="4826" spans="19:19" x14ac:dyDescent="0.2">
      <c r="S4826" s="10"/>
    </row>
    <row r="4828" spans="19:19" x14ac:dyDescent="0.2">
      <c r="S4828" s="10"/>
    </row>
    <row r="4829" spans="19:19" x14ac:dyDescent="0.2">
      <c r="S4829" s="10"/>
    </row>
    <row r="4830" spans="19:19" x14ac:dyDescent="0.2">
      <c r="S4830" s="10"/>
    </row>
    <row r="4831" spans="19:19" x14ac:dyDescent="0.2">
      <c r="S4831" s="10"/>
    </row>
    <row r="4927" spans="19:19" x14ac:dyDescent="0.2">
      <c r="S4927" s="10"/>
    </row>
    <row r="4929" spans="19:19" x14ac:dyDescent="0.2">
      <c r="S4929" s="10"/>
    </row>
    <row r="4934" spans="19:19" x14ac:dyDescent="0.2">
      <c r="S4934" s="10"/>
    </row>
    <row r="4935" spans="19:19" x14ac:dyDescent="0.2">
      <c r="S4935" s="10"/>
    </row>
    <row r="4936" spans="19:19" x14ac:dyDescent="0.2">
      <c r="S4936" s="10"/>
    </row>
    <row r="4937" spans="19:19" x14ac:dyDescent="0.2">
      <c r="S4937" s="10"/>
    </row>
    <row r="4938" spans="19:19" x14ac:dyDescent="0.2">
      <c r="S4938" s="10"/>
    </row>
    <row r="4939" spans="19:19" x14ac:dyDescent="0.2">
      <c r="S4939" s="10"/>
    </row>
    <row r="4940" spans="19:19" x14ac:dyDescent="0.2">
      <c r="S4940" s="10"/>
    </row>
    <row r="4941" spans="19:19" x14ac:dyDescent="0.2">
      <c r="S4941" s="10"/>
    </row>
    <row r="4942" spans="19:19" x14ac:dyDescent="0.2">
      <c r="S4942" s="10"/>
    </row>
    <row r="4943" spans="19:19" x14ac:dyDescent="0.2">
      <c r="S4943" s="10"/>
    </row>
    <row r="4944" spans="19:19" x14ac:dyDescent="0.2">
      <c r="S4944" s="10"/>
    </row>
    <row r="4945" spans="19:19" x14ac:dyDescent="0.2">
      <c r="S4945" s="10"/>
    </row>
    <row r="4958" spans="19:19" x14ac:dyDescent="0.2">
      <c r="S4958" s="10"/>
    </row>
    <row r="4985" spans="19:19" x14ac:dyDescent="0.2">
      <c r="S4985" s="10"/>
    </row>
    <row r="4994" spans="19:19" x14ac:dyDescent="0.2">
      <c r="S4994" s="10"/>
    </row>
    <row r="4999" spans="19:19" x14ac:dyDescent="0.2">
      <c r="S4999" s="10"/>
    </row>
    <row r="5000" spans="19:19" x14ac:dyDescent="0.2">
      <c r="S5000" s="10"/>
    </row>
    <row r="5012" spans="19:19" x14ac:dyDescent="0.2">
      <c r="S5012" s="10"/>
    </row>
    <row r="5018" spans="19:19" x14ac:dyDescent="0.2">
      <c r="S5018" s="10"/>
    </row>
    <row r="5033" spans="19:19" x14ac:dyDescent="0.2">
      <c r="S5033" s="10"/>
    </row>
    <row r="5090" spans="19:19" x14ac:dyDescent="0.2">
      <c r="S5090" s="10"/>
    </row>
    <row r="5091" spans="19:19" x14ac:dyDescent="0.2">
      <c r="S5091" s="10"/>
    </row>
    <row r="5092" spans="19:19" x14ac:dyDescent="0.2">
      <c r="S5092" s="10"/>
    </row>
    <row r="5093" spans="19:19" x14ac:dyDescent="0.2">
      <c r="S5093" s="10"/>
    </row>
    <row r="5107" spans="19:19" x14ac:dyDescent="0.2">
      <c r="S5107" s="10"/>
    </row>
    <row r="5138" spans="19:19" x14ac:dyDescent="0.2">
      <c r="S5138" s="10"/>
    </row>
    <row r="5152" spans="19:19" x14ac:dyDescent="0.2">
      <c r="S5152" s="10"/>
    </row>
    <row r="5170" spans="19:19" x14ac:dyDescent="0.2">
      <c r="S5170" s="10"/>
    </row>
    <row r="5172" spans="19:19" x14ac:dyDescent="0.2">
      <c r="S5172" s="10"/>
    </row>
    <row r="5173" spans="19:19" x14ac:dyDescent="0.2">
      <c r="S5173" s="10"/>
    </row>
    <row r="5174" spans="19:19" x14ac:dyDescent="0.2">
      <c r="S5174" s="10"/>
    </row>
    <row r="5175" spans="19:19" x14ac:dyDescent="0.2">
      <c r="S5175" s="10"/>
    </row>
    <row r="5176" spans="19:19" x14ac:dyDescent="0.2">
      <c r="S5176" s="10"/>
    </row>
    <row r="5195" spans="19:19" x14ac:dyDescent="0.2">
      <c r="S5195" s="10"/>
    </row>
    <row r="5196" spans="19:19" x14ac:dyDescent="0.2">
      <c r="S5196" s="10"/>
    </row>
    <row r="5197" spans="19:19" x14ac:dyDescent="0.2">
      <c r="S5197" s="10"/>
    </row>
    <row r="5200" spans="19:19" x14ac:dyDescent="0.2">
      <c r="S5200" s="10"/>
    </row>
    <row r="5201" spans="19:19" x14ac:dyDescent="0.2">
      <c r="S5201" s="10"/>
    </row>
    <row r="5202" spans="19:19" x14ac:dyDescent="0.2">
      <c r="S5202" s="10"/>
    </row>
    <row r="5203" spans="19:19" x14ac:dyDescent="0.2">
      <c r="S5203" s="10"/>
    </row>
    <row r="5204" spans="19:19" x14ac:dyDescent="0.2">
      <c r="S5204" s="10"/>
    </row>
    <row r="5205" spans="19:19" x14ac:dyDescent="0.2">
      <c r="S5205" s="10"/>
    </row>
    <row r="5206" spans="19:19" x14ac:dyDescent="0.2">
      <c r="S5206" s="10"/>
    </row>
    <row r="5207" spans="19:19" x14ac:dyDescent="0.2">
      <c r="S5207" s="10"/>
    </row>
    <row r="5220" spans="19:19" x14ac:dyDescent="0.2">
      <c r="S5220" s="10"/>
    </row>
    <row r="5256" spans="19:19" x14ac:dyDescent="0.2">
      <c r="S5256" s="10"/>
    </row>
    <row r="5271" spans="19:19" x14ac:dyDescent="0.2">
      <c r="S5271" s="10"/>
    </row>
    <row r="5279" spans="19:19" x14ac:dyDescent="0.2">
      <c r="S5279" s="10"/>
    </row>
    <row r="5284" spans="19:19" x14ac:dyDescent="0.2">
      <c r="S5284" s="10"/>
    </row>
    <row r="5289" spans="19:19" x14ac:dyDescent="0.2">
      <c r="S5289" s="10"/>
    </row>
    <row r="5315" spans="19:19" x14ac:dyDescent="0.2">
      <c r="S5315" s="10"/>
    </row>
    <row r="5424" spans="19:19" x14ac:dyDescent="0.2">
      <c r="S5424" s="10"/>
    </row>
    <row r="5430" spans="19:19" x14ac:dyDescent="0.2">
      <c r="S5430" s="10"/>
    </row>
    <row r="5447" spans="19:19" x14ac:dyDescent="0.2">
      <c r="S5447" s="10"/>
    </row>
    <row r="5529" spans="19:19" x14ac:dyDescent="0.2">
      <c r="S5529" s="10"/>
    </row>
    <row r="5570" spans="19:19" x14ac:dyDescent="0.2">
      <c r="S5570" s="10"/>
    </row>
    <row r="5572" spans="19:19" x14ac:dyDescent="0.2">
      <c r="S5572" s="10"/>
    </row>
    <row r="5581" spans="19:19" x14ac:dyDescent="0.2">
      <c r="S5581" s="10"/>
    </row>
    <row r="5584" spans="19:19" x14ac:dyDescent="0.2">
      <c r="S5584" s="10"/>
    </row>
    <row r="5585" spans="19:19" x14ac:dyDescent="0.2">
      <c r="S5585" s="10"/>
    </row>
    <row r="5586" spans="19:19" x14ac:dyDescent="0.2">
      <c r="S5586" s="10"/>
    </row>
    <row r="5616" spans="19:19" x14ac:dyDescent="0.2">
      <c r="S5616" s="10"/>
    </row>
    <row r="5618" spans="19:19" x14ac:dyDescent="0.2">
      <c r="S5618" s="10"/>
    </row>
    <row r="5657" spans="19:19" x14ac:dyDescent="0.2">
      <c r="S5657" s="10"/>
    </row>
    <row r="5659" spans="19:19" x14ac:dyDescent="0.2">
      <c r="S5659" s="10"/>
    </row>
    <row r="5661" spans="19:19" x14ac:dyDescent="0.2">
      <c r="S5661" s="10"/>
    </row>
    <row r="5681" spans="19:19" x14ac:dyDescent="0.2">
      <c r="S5681" s="10"/>
    </row>
    <row r="5689" spans="19:19" x14ac:dyDescent="0.2">
      <c r="S5689" s="10"/>
    </row>
    <row r="5710" spans="19:19" x14ac:dyDescent="0.2">
      <c r="S5710" s="10"/>
    </row>
    <row r="5733" spans="19:19" x14ac:dyDescent="0.2">
      <c r="S5733" s="10"/>
    </row>
    <row r="5768" spans="19:19" x14ac:dyDescent="0.2">
      <c r="S5768" s="10"/>
    </row>
    <row r="5775" spans="19:19" x14ac:dyDescent="0.2">
      <c r="S5775" s="10"/>
    </row>
    <row r="5780" spans="19:19" x14ac:dyDescent="0.2">
      <c r="S5780" s="10"/>
    </row>
    <row r="5781" spans="19:19" x14ac:dyDescent="0.2">
      <c r="S5781" s="10"/>
    </row>
    <row r="5812" spans="19:19" x14ac:dyDescent="0.2">
      <c r="S5812" s="10"/>
    </row>
    <row r="5814" spans="19:19" x14ac:dyDescent="0.2">
      <c r="S5814" s="10"/>
    </row>
    <row r="5845" spans="19:19" x14ac:dyDescent="0.2">
      <c r="S5845" s="10"/>
    </row>
    <row r="5851" spans="19:19" x14ac:dyDescent="0.2">
      <c r="S5851" s="10"/>
    </row>
    <row r="5855" spans="19:19" x14ac:dyDescent="0.2">
      <c r="S5855" s="10"/>
    </row>
    <row r="5861" spans="19:19" x14ac:dyDescent="0.2">
      <c r="S5861" s="10"/>
    </row>
    <row r="5882" spans="19:19" x14ac:dyDescent="0.2">
      <c r="S5882" s="10"/>
    </row>
    <row r="5884" spans="19:19" x14ac:dyDescent="0.2">
      <c r="S5884" s="10"/>
    </row>
    <row r="5961" spans="19:19" x14ac:dyDescent="0.2">
      <c r="S5961" s="10"/>
    </row>
    <row r="5985" spans="19:19" x14ac:dyDescent="0.2">
      <c r="S5985" s="10"/>
    </row>
    <row r="5991" spans="19:19" x14ac:dyDescent="0.2">
      <c r="S5991" s="10"/>
    </row>
    <row r="5992" spans="19:19" x14ac:dyDescent="0.2">
      <c r="S5992" s="10"/>
    </row>
    <row r="5993" spans="19:19" x14ac:dyDescent="0.2">
      <c r="S5993" s="10"/>
    </row>
    <row r="5994" spans="19:19" x14ac:dyDescent="0.2">
      <c r="S5994" s="10"/>
    </row>
    <row r="5995" spans="19:19" x14ac:dyDescent="0.2">
      <c r="S5995" s="10"/>
    </row>
    <row r="6046" spans="19:19" x14ac:dyDescent="0.2">
      <c r="S6046" s="10"/>
    </row>
    <row r="6054" spans="19:19" x14ac:dyDescent="0.2">
      <c r="S6054" s="10"/>
    </row>
    <row r="6062" spans="19:19" x14ac:dyDescent="0.2">
      <c r="S6062" s="10"/>
    </row>
    <row r="6066" spans="19:19" x14ac:dyDescent="0.2">
      <c r="S6066" s="10"/>
    </row>
    <row r="6116" spans="19:19" x14ac:dyDescent="0.2">
      <c r="S6116" s="10"/>
    </row>
    <row r="6160" spans="19:19" x14ac:dyDescent="0.2">
      <c r="S6160" s="10"/>
    </row>
    <row r="6174" spans="19:19" x14ac:dyDescent="0.2">
      <c r="S6174" s="10"/>
    </row>
    <row r="6176" spans="19:19" x14ac:dyDescent="0.2">
      <c r="S6176" s="10"/>
    </row>
    <row r="6194" spans="19:19" x14ac:dyDescent="0.2">
      <c r="S6194" s="10"/>
    </row>
    <row r="6205" spans="19:19" x14ac:dyDescent="0.2">
      <c r="S6205" s="10"/>
    </row>
    <row r="6257" spans="19:19" x14ac:dyDescent="0.2">
      <c r="S6257" s="10"/>
    </row>
    <row r="6268" spans="19:19" x14ac:dyDescent="0.2">
      <c r="S6268" s="10"/>
    </row>
    <row r="6283" spans="19:19" x14ac:dyDescent="0.2">
      <c r="S6283" s="10"/>
    </row>
    <row r="6312" spans="19:19" x14ac:dyDescent="0.2">
      <c r="S6312" s="10"/>
    </row>
    <row r="6352" spans="19:19" x14ac:dyDescent="0.2">
      <c r="S6352" s="10"/>
    </row>
    <row r="6358" spans="19:19" x14ac:dyDescent="0.2">
      <c r="S6358" s="10"/>
    </row>
    <row r="6369" spans="19:19" x14ac:dyDescent="0.2">
      <c r="S6369" s="10"/>
    </row>
    <row r="6393" spans="19:19" x14ac:dyDescent="0.2">
      <c r="S6393" s="10"/>
    </row>
    <row r="6401" spans="19:19" x14ac:dyDescent="0.2">
      <c r="S6401" s="10"/>
    </row>
    <row r="6411" spans="19:19" x14ac:dyDescent="0.2">
      <c r="S6411" s="10"/>
    </row>
    <row r="6412" spans="19:19" x14ac:dyDescent="0.2">
      <c r="S6412" s="10"/>
    </row>
    <row r="6418" spans="19:19" x14ac:dyDescent="0.2">
      <c r="S6418" s="10"/>
    </row>
    <row r="6419" spans="19:19" x14ac:dyDescent="0.2">
      <c r="S6419" s="10"/>
    </row>
    <row r="6421" spans="19:19" x14ac:dyDescent="0.2">
      <c r="S6421" s="10"/>
    </row>
    <row r="6430" spans="19:19" x14ac:dyDescent="0.2">
      <c r="S6430" s="10"/>
    </row>
    <row r="6573" spans="19:19" x14ac:dyDescent="0.2">
      <c r="S6573" s="10"/>
    </row>
    <row r="6604" spans="19:19" x14ac:dyDescent="0.2">
      <c r="S6604" s="10"/>
    </row>
    <row r="6609" spans="19:19" x14ac:dyDescent="0.2">
      <c r="S6609" s="10"/>
    </row>
    <row r="6628" spans="19:19" x14ac:dyDescent="0.2">
      <c r="S6628" s="10"/>
    </row>
    <row r="6631" spans="19:19" x14ac:dyDescent="0.2">
      <c r="S6631" s="10"/>
    </row>
    <row r="6636" spans="19:19" x14ac:dyDescent="0.2">
      <c r="S6636" s="10"/>
    </row>
    <row r="6649" spans="19:19" x14ac:dyDescent="0.2">
      <c r="S6649" s="10"/>
    </row>
    <row r="6675" spans="19:19" x14ac:dyDescent="0.2">
      <c r="S6675" s="10"/>
    </row>
    <row r="6676" spans="19:19" x14ac:dyDescent="0.2">
      <c r="S6676" s="10"/>
    </row>
    <row r="6677" spans="19:19" x14ac:dyDescent="0.2">
      <c r="S6677" s="10"/>
    </row>
    <row r="6678" spans="19:19" x14ac:dyDescent="0.2">
      <c r="S6678" s="10"/>
    </row>
    <row r="6687" spans="19:19" x14ac:dyDescent="0.2">
      <c r="S6687" s="10"/>
    </row>
    <row r="6709" spans="19:19" x14ac:dyDescent="0.2">
      <c r="S6709" s="10"/>
    </row>
    <row r="6736" spans="19:19" x14ac:dyDescent="0.2">
      <c r="S6736" s="10"/>
    </row>
    <row r="6749" spans="19:19" x14ac:dyDescent="0.2">
      <c r="S6749" s="10"/>
    </row>
    <row r="6768" spans="19:19" x14ac:dyDescent="0.2">
      <c r="S6768" s="10"/>
    </row>
    <row r="6773" spans="19:19" x14ac:dyDescent="0.2">
      <c r="S6773" s="10"/>
    </row>
    <row r="6778" spans="19:19" x14ac:dyDescent="0.2">
      <c r="S6778" s="10"/>
    </row>
    <row r="6779" spans="19:19" x14ac:dyDescent="0.2">
      <c r="S6779" s="10"/>
    </row>
    <row r="6782" spans="19:19" x14ac:dyDescent="0.2">
      <c r="S6782" s="10"/>
    </row>
    <row r="6791" spans="19:19" x14ac:dyDescent="0.2">
      <c r="S6791" s="10"/>
    </row>
    <row r="6792" spans="19:19" x14ac:dyDescent="0.2">
      <c r="S6792" s="10"/>
    </row>
    <row r="6798" spans="19:19" x14ac:dyDescent="0.2">
      <c r="S6798" s="10"/>
    </row>
    <row r="6799" spans="19:19" x14ac:dyDescent="0.2">
      <c r="S6799" s="10"/>
    </row>
    <row r="6800" spans="19:19" x14ac:dyDescent="0.2">
      <c r="S6800" s="10"/>
    </row>
    <row r="6802" spans="19:19" x14ac:dyDescent="0.2">
      <c r="S6802" s="10"/>
    </row>
    <row r="6803" spans="19:19" x14ac:dyDescent="0.2">
      <c r="S6803" s="10"/>
    </row>
    <row r="6806" spans="19:19" x14ac:dyDescent="0.2">
      <c r="S6806" s="10"/>
    </row>
    <row r="6811" spans="19:19" x14ac:dyDescent="0.2">
      <c r="S6811" s="10"/>
    </row>
    <row r="6812" spans="19:19" x14ac:dyDescent="0.2">
      <c r="S6812" s="10"/>
    </row>
    <row r="6819" spans="19:19" x14ac:dyDescent="0.2">
      <c r="S6819" s="10"/>
    </row>
    <row r="6856" spans="19:19" x14ac:dyDescent="0.2">
      <c r="S6856" s="10"/>
    </row>
    <row r="6870" spans="19:19" x14ac:dyDescent="0.2">
      <c r="S6870" s="10"/>
    </row>
    <row r="6897" spans="19:19" x14ac:dyDescent="0.2">
      <c r="S6897" s="10"/>
    </row>
    <row r="6905" spans="19:19" x14ac:dyDescent="0.2">
      <c r="S6905" s="10"/>
    </row>
    <row r="6913" spans="19:19" x14ac:dyDescent="0.2">
      <c r="S6913" s="10"/>
    </row>
    <row r="6933" spans="19:19" x14ac:dyDescent="0.2">
      <c r="S6933" s="10"/>
    </row>
    <row r="6939" spans="19:19" x14ac:dyDescent="0.2">
      <c r="S6939" s="10"/>
    </row>
    <row r="6975" spans="19:19" x14ac:dyDescent="0.2">
      <c r="S6975" s="10"/>
    </row>
    <row r="6993" spans="19:19" x14ac:dyDescent="0.2">
      <c r="S6993" s="10"/>
    </row>
    <row r="6994" spans="19:19" x14ac:dyDescent="0.2">
      <c r="S6994" s="10"/>
    </row>
    <row r="6996" spans="19:19" x14ac:dyDescent="0.2">
      <c r="S6996" s="10"/>
    </row>
    <row r="6997" spans="19:19" x14ac:dyDescent="0.2">
      <c r="S6997" s="10"/>
    </row>
    <row r="6998" spans="19:19" x14ac:dyDescent="0.2">
      <c r="S6998" s="10"/>
    </row>
    <row r="6999" spans="19:19" x14ac:dyDescent="0.2">
      <c r="S6999" s="10"/>
    </row>
    <row r="7001" spans="19:19" x14ac:dyDescent="0.2">
      <c r="S7001" s="10"/>
    </row>
    <row r="7028" spans="19:19" x14ac:dyDescent="0.2">
      <c r="S7028" s="10"/>
    </row>
    <row r="7032" spans="19:19" x14ac:dyDescent="0.2">
      <c r="S7032" s="10"/>
    </row>
    <row r="7044" spans="19:19" x14ac:dyDescent="0.2">
      <c r="S7044" s="10"/>
    </row>
    <row r="7057" spans="19:19" x14ac:dyDescent="0.2">
      <c r="S7057" s="10"/>
    </row>
    <row r="7080" spans="19:19" x14ac:dyDescent="0.2">
      <c r="S7080" s="10"/>
    </row>
    <row r="7100" spans="19:19" x14ac:dyDescent="0.2">
      <c r="S7100" s="10"/>
    </row>
    <row r="7114" spans="19:19" x14ac:dyDescent="0.2">
      <c r="S7114" s="10"/>
    </row>
    <row r="7116" spans="19:19" x14ac:dyDescent="0.2">
      <c r="S7116" s="10"/>
    </row>
    <row r="7138" spans="19:19" x14ac:dyDescent="0.2">
      <c r="S7138" s="10"/>
    </row>
    <row r="7178" spans="19:19" x14ac:dyDescent="0.2">
      <c r="S7178" s="10"/>
    </row>
    <row r="7180" spans="19:19" x14ac:dyDescent="0.2">
      <c r="S7180" s="10"/>
    </row>
    <row r="7182" spans="19:19" x14ac:dyDescent="0.2">
      <c r="S7182" s="10"/>
    </row>
    <row r="7186" spans="19:19" x14ac:dyDescent="0.2">
      <c r="S7186" s="10"/>
    </row>
    <row r="7212" spans="19:19" x14ac:dyDescent="0.2">
      <c r="S7212" s="10"/>
    </row>
    <row r="7228" spans="19:19" x14ac:dyDescent="0.2">
      <c r="S7228" s="10"/>
    </row>
    <row r="7230" spans="19:19" x14ac:dyDescent="0.2">
      <c r="S7230" s="10"/>
    </row>
    <row r="7251" spans="19:19" x14ac:dyDescent="0.2">
      <c r="S7251" s="10"/>
    </row>
    <row r="7303" spans="19:19" x14ac:dyDescent="0.2">
      <c r="S7303" s="10"/>
    </row>
    <row r="7322" spans="19:19" x14ac:dyDescent="0.2">
      <c r="S7322" s="10"/>
    </row>
    <row r="7379" spans="19:19" x14ac:dyDescent="0.2">
      <c r="S7379" s="10"/>
    </row>
    <row r="7413" spans="19:19" x14ac:dyDescent="0.2">
      <c r="S7413" s="10"/>
    </row>
    <row r="7463" spans="19:19" x14ac:dyDescent="0.2">
      <c r="S7463" s="10"/>
    </row>
    <row r="7464" spans="19:19" x14ac:dyDescent="0.2">
      <c r="S7464" s="10"/>
    </row>
    <row r="7466" spans="19:19" x14ac:dyDescent="0.2">
      <c r="S7466" s="10"/>
    </row>
    <row r="7494" spans="19:19" x14ac:dyDescent="0.2">
      <c r="S7494" s="10"/>
    </row>
    <row r="7502" spans="19:19" x14ac:dyDescent="0.2">
      <c r="S7502" s="10"/>
    </row>
    <row r="7510" spans="19:19" x14ac:dyDescent="0.2">
      <c r="S7510" s="10"/>
    </row>
    <row r="7518" spans="19:19" x14ac:dyDescent="0.2">
      <c r="S7518" s="10"/>
    </row>
    <row r="7520" spans="19:19" x14ac:dyDescent="0.2">
      <c r="S7520" s="10"/>
    </row>
    <row r="7522" spans="19:19" x14ac:dyDescent="0.2">
      <c r="S7522" s="10"/>
    </row>
    <row r="7528" spans="19:19" x14ac:dyDescent="0.2">
      <c r="S7528" s="10"/>
    </row>
    <row r="7530" spans="19:19" x14ac:dyDescent="0.2">
      <c r="S7530" s="10"/>
    </row>
    <row r="7532" spans="19:19" x14ac:dyDescent="0.2">
      <c r="S7532" s="10"/>
    </row>
    <row r="7534" spans="19:19" x14ac:dyDescent="0.2">
      <c r="S7534" s="10"/>
    </row>
    <row r="7535" spans="19:19" x14ac:dyDescent="0.2">
      <c r="S7535" s="10"/>
    </row>
    <row r="7536" spans="19:19" x14ac:dyDescent="0.2">
      <c r="S7536" s="10"/>
    </row>
    <row r="7537" spans="19:19" x14ac:dyDescent="0.2">
      <c r="S7537" s="10"/>
    </row>
    <row r="7538" spans="19:19" x14ac:dyDescent="0.2">
      <c r="S7538" s="10"/>
    </row>
    <row r="7539" spans="19:19" x14ac:dyDescent="0.2">
      <c r="S7539" s="10"/>
    </row>
    <row r="7540" spans="19:19" x14ac:dyDescent="0.2">
      <c r="S7540" s="10"/>
    </row>
    <row r="7541" spans="19:19" x14ac:dyDescent="0.2">
      <c r="S7541" s="10"/>
    </row>
    <row r="7542" spans="19:19" x14ac:dyDescent="0.2">
      <c r="S7542" s="10"/>
    </row>
    <row r="7543" spans="19:19" x14ac:dyDescent="0.2">
      <c r="S7543" s="10"/>
    </row>
    <row r="7544" spans="19:19" x14ac:dyDescent="0.2">
      <c r="S7544" s="10"/>
    </row>
    <row r="7545" spans="19:19" x14ac:dyDescent="0.2">
      <c r="S7545" s="10"/>
    </row>
    <row r="7546" spans="19:19" x14ac:dyDescent="0.2">
      <c r="S7546" s="10"/>
    </row>
    <row r="7547" spans="19:19" x14ac:dyDescent="0.2">
      <c r="S7547" s="10"/>
    </row>
    <row r="7548" spans="19:19" x14ac:dyDescent="0.2">
      <c r="S7548" s="10"/>
    </row>
    <row r="7549" spans="19:19" x14ac:dyDescent="0.2">
      <c r="S7549" s="10"/>
    </row>
    <row r="7550" spans="19:19" x14ac:dyDescent="0.2">
      <c r="S7550" s="10"/>
    </row>
    <row r="7551" spans="19:19" x14ac:dyDescent="0.2">
      <c r="S7551" s="10"/>
    </row>
    <row r="7552" spans="19:19" x14ac:dyDescent="0.2">
      <c r="S7552" s="10"/>
    </row>
    <row r="7553" spans="19:19" x14ac:dyDescent="0.2">
      <c r="S7553" s="10"/>
    </row>
    <row r="7554" spans="19:19" x14ac:dyDescent="0.2">
      <c r="S7554" s="10"/>
    </row>
    <row r="7555" spans="19:19" x14ac:dyDescent="0.2">
      <c r="S7555" s="10"/>
    </row>
    <row r="7556" spans="19:19" x14ac:dyDescent="0.2">
      <c r="S7556" s="10"/>
    </row>
    <row r="7557" spans="19:19" x14ac:dyDescent="0.2">
      <c r="S7557" s="10"/>
    </row>
    <row r="7558" spans="19:19" x14ac:dyDescent="0.2">
      <c r="S7558" s="10"/>
    </row>
    <row r="7559" spans="19:19" x14ac:dyDescent="0.2">
      <c r="S7559" s="10"/>
    </row>
    <row r="7560" spans="19:19" x14ac:dyDescent="0.2">
      <c r="S7560" s="10"/>
    </row>
    <row r="7561" spans="19:19" x14ac:dyDescent="0.2">
      <c r="S7561" s="10"/>
    </row>
    <row r="7562" spans="19:19" x14ac:dyDescent="0.2">
      <c r="S7562" s="10"/>
    </row>
    <row r="7563" spans="19:19" x14ac:dyDescent="0.2">
      <c r="S7563" s="10"/>
    </row>
    <row r="7565" spans="19:19" x14ac:dyDescent="0.2">
      <c r="S7565" s="10"/>
    </row>
    <row r="7566" spans="19:19" x14ac:dyDescent="0.2">
      <c r="S7566" s="10"/>
    </row>
    <row r="7567" spans="19:19" x14ac:dyDescent="0.2">
      <c r="S7567" s="10"/>
    </row>
    <row r="7568" spans="19:19" x14ac:dyDescent="0.2">
      <c r="S7568" s="10"/>
    </row>
    <row r="7569" spans="19:19" x14ac:dyDescent="0.2">
      <c r="S7569" s="10"/>
    </row>
    <row r="7570" spans="19:19" x14ac:dyDescent="0.2">
      <c r="S7570" s="10"/>
    </row>
    <row r="7571" spans="19:19" x14ac:dyDescent="0.2">
      <c r="S7571" s="10"/>
    </row>
    <row r="7572" spans="19:19" x14ac:dyDescent="0.2">
      <c r="S7572" s="10"/>
    </row>
    <row r="7573" spans="19:19" x14ac:dyDescent="0.2">
      <c r="S7573" s="10"/>
    </row>
    <row r="7574" spans="19:19" x14ac:dyDescent="0.2">
      <c r="S7574" s="10"/>
    </row>
    <row r="7575" spans="19:19" x14ac:dyDescent="0.2">
      <c r="S7575" s="10"/>
    </row>
    <row r="7576" spans="19:19" x14ac:dyDescent="0.2">
      <c r="S7576" s="10"/>
    </row>
    <row r="7577" spans="19:19" x14ac:dyDescent="0.2">
      <c r="S7577" s="10"/>
    </row>
    <row r="7578" spans="19:19" x14ac:dyDescent="0.2">
      <c r="S7578" s="10"/>
    </row>
    <row r="7579" spans="19:19" x14ac:dyDescent="0.2">
      <c r="S7579" s="10"/>
    </row>
    <row r="7580" spans="19:19" x14ac:dyDescent="0.2">
      <c r="S7580" s="10"/>
    </row>
    <row r="7581" spans="19:19" x14ac:dyDescent="0.2">
      <c r="S7581" s="10"/>
    </row>
    <row r="7582" spans="19:19" x14ac:dyDescent="0.2">
      <c r="S7582" s="10"/>
    </row>
    <row r="7583" spans="19:19" x14ac:dyDescent="0.2">
      <c r="S7583" s="10"/>
    </row>
    <row r="7584" spans="19:19" x14ac:dyDescent="0.2">
      <c r="S7584" s="10"/>
    </row>
    <row r="7593" spans="19:19" x14ac:dyDescent="0.2">
      <c r="S7593" s="10"/>
    </row>
    <row r="7622" spans="19:19" x14ac:dyDescent="0.2">
      <c r="S7622" s="10"/>
    </row>
    <row r="7646" spans="19:19" x14ac:dyDescent="0.2">
      <c r="S7646" s="10"/>
    </row>
    <row r="7650" spans="19:19" x14ac:dyDescent="0.2">
      <c r="S7650" s="10"/>
    </row>
    <row r="7657" spans="19:19" x14ac:dyDescent="0.2">
      <c r="S7657" s="10"/>
    </row>
    <row r="7659" spans="19:19" x14ac:dyDescent="0.2">
      <c r="S7659" s="10"/>
    </row>
    <row r="7693" spans="19:19" x14ac:dyDescent="0.2">
      <c r="S7693" s="10"/>
    </row>
    <row r="7704" spans="19:19" x14ac:dyDescent="0.2">
      <c r="S7704" s="10"/>
    </row>
    <row r="7733" spans="19:19" x14ac:dyDescent="0.2">
      <c r="S7733" s="10"/>
    </row>
    <row r="7772" spans="19:19" x14ac:dyDescent="0.2">
      <c r="S7772" s="10"/>
    </row>
    <row r="7807" spans="19:19" x14ac:dyDescent="0.2">
      <c r="S7807" s="10"/>
    </row>
    <row r="7808" spans="19:19" x14ac:dyDescent="0.2">
      <c r="S7808" s="10"/>
    </row>
    <row r="7813" spans="19:19" x14ac:dyDescent="0.2">
      <c r="S7813" s="10"/>
    </row>
    <row r="7814" spans="19:19" x14ac:dyDescent="0.2">
      <c r="S7814" s="10"/>
    </row>
    <row r="7818" spans="19:19" x14ac:dyDescent="0.2">
      <c r="S7818" s="10"/>
    </row>
    <row r="7821" spans="19:19" x14ac:dyDescent="0.2">
      <c r="S7821" s="10"/>
    </row>
    <row r="7822" spans="19:19" x14ac:dyDescent="0.2">
      <c r="S7822" s="10"/>
    </row>
    <row r="7825" spans="19:19" x14ac:dyDescent="0.2">
      <c r="S7825" s="10"/>
    </row>
    <row r="7828" spans="19:19" x14ac:dyDescent="0.2">
      <c r="S7828" s="10"/>
    </row>
    <row r="7831" spans="19:19" x14ac:dyDescent="0.2">
      <c r="S7831" s="10"/>
    </row>
    <row r="7836" spans="19:19" x14ac:dyDescent="0.2">
      <c r="S7836" s="10"/>
    </row>
    <row r="7837" spans="19:19" x14ac:dyDescent="0.2">
      <c r="S7837" s="10"/>
    </row>
    <row r="7838" spans="19:19" x14ac:dyDescent="0.2">
      <c r="S7838" s="10"/>
    </row>
    <row r="7841" spans="19:19" x14ac:dyDescent="0.2">
      <c r="S7841" s="10"/>
    </row>
    <row r="7846" spans="19:19" x14ac:dyDescent="0.2">
      <c r="S7846" s="10"/>
    </row>
    <row r="7849" spans="19:19" x14ac:dyDescent="0.2">
      <c r="S7849" s="10"/>
    </row>
    <row r="7850" spans="19:19" x14ac:dyDescent="0.2">
      <c r="S7850" s="10"/>
    </row>
    <row r="7853" spans="19:19" x14ac:dyDescent="0.2">
      <c r="S7853" s="10"/>
    </row>
    <row r="7858" spans="19:19" x14ac:dyDescent="0.2">
      <c r="S7858" s="10"/>
    </row>
    <row r="7859" spans="19:19" x14ac:dyDescent="0.2">
      <c r="S7859" s="10"/>
    </row>
    <row r="7862" spans="19:19" x14ac:dyDescent="0.2">
      <c r="S7862" s="10"/>
    </row>
    <row r="7863" spans="19:19" x14ac:dyDescent="0.2">
      <c r="S7863" s="10"/>
    </row>
    <row r="7864" spans="19:19" x14ac:dyDescent="0.2">
      <c r="S7864" s="10"/>
    </row>
    <row r="7866" spans="19:19" x14ac:dyDescent="0.2">
      <c r="S7866" s="10"/>
    </row>
    <row r="7867" spans="19:19" x14ac:dyDescent="0.2">
      <c r="S7867" s="10"/>
    </row>
    <row r="7868" spans="19:19" x14ac:dyDescent="0.2">
      <c r="S7868" s="10"/>
    </row>
    <row r="7870" spans="19:19" x14ac:dyDescent="0.2">
      <c r="S7870" s="10"/>
    </row>
    <row r="7872" spans="19:19" x14ac:dyDescent="0.2">
      <c r="S7872" s="10"/>
    </row>
    <row r="7876" spans="19:19" x14ac:dyDescent="0.2">
      <c r="S7876" s="10"/>
    </row>
    <row r="7877" spans="19:19" x14ac:dyDescent="0.2">
      <c r="S7877" s="10"/>
    </row>
    <row r="7880" spans="19:19" x14ac:dyDescent="0.2">
      <c r="S7880" s="10"/>
    </row>
    <row r="7881" spans="19:19" x14ac:dyDescent="0.2">
      <c r="S7881" s="10"/>
    </row>
    <row r="7884" spans="19:19" x14ac:dyDescent="0.2">
      <c r="S7884" s="10"/>
    </row>
    <row r="7885" spans="19:19" x14ac:dyDescent="0.2">
      <c r="S7885" s="10"/>
    </row>
    <row r="7886" spans="19:19" x14ac:dyDescent="0.2">
      <c r="S7886" s="10"/>
    </row>
    <row r="7887" spans="19:19" x14ac:dyDescent="0.2">
      <c r="S7887" s="10"/>
    </row>
    <row r="7888" spans="19:19" x14ac:dyDescent="0.2">
      <c r="S7888" s="10"/>
    </row>
    <row r="7889" spans="19:19" x14ac:dyDescent="0.2">
      <c r="S7889" s="10"/>
    </row>
    <row r="7890" spans="19:19" x14ac:dyDescent="0.2">
      <c r="S7890" s="10"/>
    </row>
    <row r="7891" spans="19:19" x14ac:dyDescent="0.2">
      <c r="S7891" s="10"/>
    </row>
    <row r="7893" spans="19:19" x14ac:dyDescent="0.2">
      <c r="S7893" s="10"/>
    </row>
    <row r="7894" spans="19:19" x14ac:dyDescent="0.2">
      <c r="S7894" s="10"/>
    </row>
    <row r="7897" spans="19:19" x14ac:dyDescent="0.2">
      <c r="S7897" s="10"/>
    </row>
    <row r="7898" spans="19:19" x14ac:dyDescent="0.2">
      <c r="S7898" s="10"/>
    </row>
    <row r="7899" spans="19:19" x14ac:dyDescent="0.2">
      <c r="S7899" s="10"/>
    </row>
    <row r="7900" spans="19:19" x14ac:dyDescent="0.2">
      <c r="S7900" s="10"/>
    </row>
    <row r="7902" spans="19:19" x14ac:dyDescent="0.2">
      <c r="S7902" s="10"/>
    </row>
    <row r="7904" spans="19:19" x14ac:dyDescent="0.2">
      <c r="S7904" s="10"/>
    </row>
    <row r="7905" spans="19:19" x14ac:dyDescent="0.2">
      <c r="S7905" s="10"/>
    </row>
    <row r="7906" spans="19:19" x14ac:dyDescent="0.2">
      <c r="S7906" s="10"/>
    </row>
    <row r="7907" spans="19:19" x14ac:dyDescent="0.2">
      <c r="S7907" s="10"/>
    </row>
    <row r="7908" spans="19:19" x14ac:dyDescent="0.2">
      <c r="S7908" s="10"/>
    </row>
    <row r="7909" spans="19:19" x14ac:dyDescent="0.2">
      <c r="S7909" s="10"/>
    </row>
    <row r="7910" spans="19:19" x14ac:dyDescent="0.2">
      <c r="S7910" s="10"/>
    </row>
    <row r="7911" spans="19:19" x14ac:dyDescent="0.2">
      <c r="S7911" s="10"/>
    </row>
    <row r="7912" spans="19:19" x14ac:dyDescent="0.2">
      <c r="S7912" s="10"/>
    </row>
    <row r="7913" spans="19:19" x14ac:dyDescent="0.2">
      <c r="S7913" s="10"/>
    </row>
    <row r="7914" spans="19:19" x14ac:dyDescent="0.2">
      <c r="S7914" s="10"/>
    </row>
    <row r="7915" spans="19:19" x14ac:dyDescent="0.2">
      <c r="S7915" s="10"/>
    </row>
    <row r="7916" spans="19:19" x14ac:dyDescent="0.2">
      <c r="S7916" s="10"/>
    </row>
    <row r="7917" spans="19:19" x14ac:dyDescent="0.2">
      <c r="S7917" s="10"/>
    </row>
    <row r="7918" spans="19:19" x14ac:dyDescent="0.2">
      <c r="S7918" s="10"/>
    </row>
    <row r="7919" spans="19:19" x14ac:dyDescent="0.2">
      <c r="S7919" s="10"/>
    </row>
    <row r="7920" spans="19:19" x14ac:dyDescent="0.2">
      <c r="S7920" s="10"/>
    </row>
    <row r="7923" spans="19:19" x14ac:dyDescent="0.2">
      <c r="S7923" s="10"/>
    </row>
    <row r="7924" spans="19:19" x14ac:dyDescent="0.2">
      <c r="S7924" s="10"/>
    </row>
    <row r="7925" spans="19:19" x14ac:dyDescent="0.2">
      <c r="S7925" s="10"/>
    </row>
    <row r="7929" spans="19:19" x14ac:dyDescent="0.2">
      <c r="S7929" s="10"/>
    </row>
    <row r="7935" spans="19:19" x14ac:dyDescent="0.2">
      <c r="S7935" s="10"/>
    </row>
    <row r="7936" spans="19:19" x14ac:dyDescent="0.2">
      <c r="S7936" s="10"/>
    </row>
    <row r="7937" spans="19:19" x14ac:dyDescent="0.2">
      <c r="S7937" s="10"/>
    </row>
    <row r="7970" spans="19:19" x14ac:dyDescent="0.2">
      <c r="S7970" s="10"/>
    </row>
    <row r="7976" spans="19:19" x14ac:dyDescent="0.2">
      <c r="S7976" s="10"/>
    </row>
    <row r="7988" spans="19:19" x14ac:dyDescent="0.2">
      <c r="S7988" s="10"/>
    </row>
    <row r="7989" spans="19:19" x14ac:dyDescent="0.2">
      <c r="S7989" s="10"/>
    </row>
    <row r="8004" spans="19:19" x14ac:dyDescent="0.2">
      <c r="S8004" s="10"/>
    </row>
    <row r="8005" spans="19:19" x14ac:dyDescent="0.2">
      <c r="S8005" s="10"/>
    </row>
    <row r="8007" spans="19:19" x14ac:dyDescent="0.2">
      <c r="S8007" s="10"/>
    </row>
    <row r="8040" spans="19:19" x14ac:dyDescent="0.2">
      <c r="S8040" s="10"/>
    </row>
    <row r="8042" spans="19:19" x14ac:dyDescent="0.2">
      <c r="S8042" s="10"/>
    </row>
    <row r="8077" spans="19:19" x14ac:dyDescent="0.2">
      <c r="S8077" s="10"/>
    </row>
    <row r="8078" spans="19:19" x14ac:dyDescent="0.2">
      <c r="S8078" s="10"/>
    </row>
    <row r="8095" spans="19:19" x14ac:dyDescent="0.2">
      <c r="S8095" s="10"/>
    </row>
    <row r="8112" spans="19:19" x14ac:dyDescent="0.2">
      <c r="S8112" s="10"/>
    </row>
    <row r="8116" spans="19:19" x14ac:dyDescent="0.2">
      <c r="S8116" s="10"/>
    </row>
    <row r="8117" spans="19:19" x14ac:dyDescent="0.2">
      <c r="S8117" s="10"/>
    </row>
    <row r="8118" spans="19:19" x14ac:dyDescent="0.2">
      <c r="S8118" s="10"/>
    </row>
    <row r="8119" spans="19:19" x14ac:dyDescent="0.2">
      <c r="S8119" s="10"/>
    </row>
    <row r="8120" spans="19:19" x14ac:dyDescent="0.2">
      <c r="S8120" s="10"/>
    </row>
    <row r="8121" spans="19:19" x14ac:dyDescent="0.2">
      <c r="S8121" s="10"/>
    </row>
    <row r="8122" spans="19:19" x14ac:dyDescent="0.2">
      <c r="S8122" s="10"/>
    </row>
    <row r="8123" spans="19:19" x14ac:dyDescent="0.2">
      <c r="S8123" s="10"/>
    </row>
    <row r="8124" spans="19:19" x14ac:dyDescent="0.2">
      <c r="S8124" s="10"/>
    </row>
    <row r="8125" spans="19:19" x14ac:dyDescent="0.2">
      <c r="S8125" s="10"/>
    </row>
    <row r="8126" spans="19:19" x14ac:dyDescent="0.2">
      <c r="S8126" s="10"/>
    </row>
    <row r="8127" spans="19:19" x14ac:dyDescent="0.2">
      <c r="S8127" s="10"/>
    </row>
    <row r="8128" spans="19:19" x14ac:dyDescent="0.2">
      <c r="S8128" s="10"/>
    </row>
    <row r="8129" spans="19:19" x14ac:dyDescent="0.2">
      <c r="S8129" s="10"/>
    </row>
    <row r="8130" spans="19:19" x14ac:dyDescent="0.2">
      <c r="S8130" s="10"/>
    </row>
    <row r="8131" spans="19:19" x14ac:dyDescent="0.2">
      <c r="S8131" s="10"/>
    </row>
    <row r="8132" spans="19:19" x14ac:dyDescent="0.2">
      <c r="S8132" s="10"/>
    </row>
    <row r="8133" spans="19:19" x14ac:dyDescent="0.2">
      <c r="S8133" s="10"/>
    </row>
    <row r="8134" spans="19:19" x14ac:dyDescent="0.2">
      <c r="S8134" s="10"/>
    </row>
    <row r="8135" spans="19:19" x14ac:dyDescent="0.2">
      <c r="S8135" s="10"/>
    </row>
    <row r="8136" spans="19:19" x14ac:dyDescent="0.2">
      <c r="S8136" s="10"/>
    </row>
    <row r="8137" spans="19:19" x14ac:dyDescent="0.2">
      <c r="S8137" s="10"/>
    </row>
    <row r="8138" spans="19:19" x14ac:dyDescent="0.2">
      <c r="S8138" s="10"/>
    </row>
    <row r="8139" spans="19:19" x14ac:dyDescent="0.2">
      <c r="S8139" s="10"/>
    </row>
    <row r="8140" spans="19:19" x14ac:dyDescent="0.2">
      <c r="S8140" s="10"/>
    </row>
    <row r="8141" spans="19:19" x14ac:dyDescent="0.2">
      <c r="S8141" s="10"/>
    </row>
    <row r="8142" spans="19:19" x14ac:dyDescent="0.2">
      <c r="S8142" s="10"/>
    </row>
    <row r="8143" spans="19:19" x14ac:dyDescent="0.2">
      <c r="S8143" s="10"/>
    </row>
    <row r="8144" spans="19:19" x14ac:dyDescent="0.2">
      <c r="S8144" s="10"/>
    </row>
    <row r="8145" spans="19:19" x14ac:dyDescent="0.2">
      <c r="S8145" s="10"/>
    </row>
    <row r="8153" spans="19:19" x14ac:dyDescent="0.2">
      <c r="S8153" s="10"/>
    </row>
    <row r="8161" spans="19:19" x14ac:dyDescent="0.2">
      <c r="S8161" s="10"/>
    </row>
    <row r="8209" spans="19:19" x14ac:dyDescent="0.2">
      <c r="S8209" s="10"/>
    </row>
    <row r="8221" spans="19:19" x14ac:dyDescent="0.2">
      <c r="S8221" s="10"/>
    </row>
    <row r="8229" spans="19:19" x14ac:dyDescent="0.2">
      <c r="S8229" s="10"/>
    </row>
    <row r="8241" spans="19:19" x14ac:dyDescent="0.2">
      <c r="S8241" s="10"/>
    </row>
    <row r="8249" spans="19:19" x14ac:dyDescent="0.2">
      <c r="S8249" s="10"/>
    </row>
    <row r="8324" spans="19:19" x14ac:dyDescent="0.2">
      <c r="S8324" s="10"/>
    </row>
    <row r="8328" spans="19:19" x14ac:dyDescent="0.2">
      <c r="S8328" s="10"/>
    </row>
    <row r="8329" spans="19:19" x14ac:dyDescent="0.2">
      <c r="S8329" s="10"/>
    </row>
    <row r="8340" spans="19:19" x14ac:dyDescent="0.2">
      <c r="S8340" s="10"/>
    </row>
    <row r="8343" spans="19:19" x14ac:dyDescent="0.2">
      <c r="S8343" s="10"/>
    </row>
    <row r="8344" spans="19:19" x14ac:dyDescent="0.2">
      <c r="S8344" s="10"/>
    </row>
    <row r="8345" spans="19:19" x14ac:dyDescent="0.2">
      <c r="S8345" s="10"/>
    </row>
    <row r="8346" spans="19:19" x14ac:dyDescent="0.2">
      <c r="S8346" s="10"/>
    </row>
    <row r="8349" spans="19:19" x14ac:dyDescent="0.2">
      <c r="S8349" s="10"/>
    </row>
    <row r="8352" spans="19:19" x14ac:dyDescent="0.2">
      <c r="S8352" s="10"/>
    </row>
    <row r="8353" spans="19:19" x14ac:dyDescent="0.2">
      <c r="S8353" s="10"/>
    </row>
    <row r="8356" spans="19:19" x14ac:dyDescent="0.2">
      <c r="S8356" s="10"/>
    </row>
    <row r="8421" spans="19:19" x14ac:dyDescent="0.2">
      <c r="S8421" s="10"/>
    </row>
    <row r="8427" spans="19:19" x14ac:dyDescent="0.2">
      <c r="S8427" s="10"/>
    </row>
    <row r="8443" spans="19:19" x14ac:dyDescent="0.2">
      <c r="S8443" s="10"/>
    </row>
    <row r="8445" spans="19:19" x14ac:dyDescent="0.2">
      <c r="S8445" s="10"/>
    </row>
    <row r="8447" spans="19:19" x14ac:dyDescent="0.2">
      <c r="S8447" s="10"/>
    </row>
    <row r="8474" spans="19:19" x14ac:dyDescent="0.2">
      <c r="S8474" s="10"/>
    </row>
    <row r="8475" spans="19:19" x14ac:dyDescent="0.2">
      <c r="S8475" s="10"/>
    </row>
    <row r="8485" spans="19:19" x14ac:dyDescent="0.2">
      <c r="S8485" s="10"/>
    </row>
    <row r="8489" spans="19:19" x14ac:dyDescent="0.2">
      <c r="S8489" s="10"/>
    </row>
    <row r="8502" spans="19:19" x14ac:dyDescent="0.2">
      <c r="S8502" s="10"/>
    </row>
    <row r="8504" spans="19:19" x14ac:dyDescent="0.2">
      <c r="S8504" s="10"/>
    </row>
    <row r="8512" spans="19:19" x14ac:dyDescent="0.2">
      <c r="S8512" s="10"/>
    </row>
    <row r="8558" spans="19:19" x14ac:dyDescent="0.2">
      <c r="S8558" s="10"/>
    </row>
    <row r="8559" spans="19:19" x14ac:dyDescent="0.2">
      <c r="S8559" s="10"/>
    </row>
    <row r="8560" spans="19:19" x14ac:dyDescent="0.2">
      <c r="S8560" s="10"/>
    </row>
    <row r="8561" spans="19:19" x14ac:dyDescent="0.2">
      <c r="S8561" s="10"/>
    </row>
    <row r="8562" spans="19:19" x14ac:dyDescent="0.2">
      <c r="S8562" s="10"/>
    </row>
    <row r="8563" spans="19:19" x14ac:dyDescent="0.2">
      <c r="S8563" s="10"/>
    </row>
    <row r="8594" spans="19:19" x14ac:dyDescent="0.2">
      <c r="S8594" s="10"/>
    </row>
    <row r="8609" spans="19:19" x14ac:dyDescent="0.2">
      <c r="S8609" s="10"/>
    </row>
    <row r="8672" spans="19:19" x14ac:dyDescent="0.2">
      <c r="S8672" s="10"/>
    </row>
    <row r="8687" spans="19:19" x14ac:dyDescent="0.2">
      <c r="S8687" s="10"/>
    </row>
    <row r="8701" spans="19:19" x14ac:dyDescent="0.2">
      <c r="S8701" s="10"/>
    </row>
    <row r="8713" spans="19:19" x14ac:dyDescent="0.2">
      <c r="S8713" s="10"/>
    </row>
    <row r="8714" spans="19:19" x14ac:dyDescent="0.2">
      <c r="S8714" s="10"/>
    </row>
    <row r="8715" spans="19:19" x14ac:dyDescent="0.2">
      <c r="S8715" s="10"/>
    </row>
    <row r="8734" spans="19:19" x14ac:dyDescent="0.2">
      <c r="S8734" s="10"/>
    </row>
    <row r="8735" spans="19:19" x14ac:dyDescent="0.2">
      <c r="S8735" s="10"/>
    </row>
    <row r="8736" spans="19:19" x14ac:dyDescent="0.2">
      <c r="S8736" s="10"/>
    </row>
    <row r="8737" spans="19:19" x14ac:dyDescent="0.2">
      <c r="S8737" s="10"/>
    </row>
    <row r="8738" spans="19:19" x14ac:dyDescent="0.2">
      <c r="S8738" s="10"/>
    </row>
    <row r="8739" spans="19:19" x14ac:dyDescent="0.2">
      <c r="S8739" s="10"/>
    </row>
    <row r="8740" spans="19:19" x14ac:dyDescent="0.2">
      <c r="S8740" s="10"/>
    </row>
    <row r="8741" spans="19:19" x14ac:dyDescent="0.2">
      <c r="S8741" s="10"/>
    </row>
    <row r="8742" spans="19:19" x14ac:dyDescent="0.2">
      <c r="S8742" s="10"/>
    </row>
    <row r="8743" spans="19:19" x14ac:dyDescent="0.2">
      <c r="S8743" s="10"/>
    </row>
    <row r="8744" spans="19:19" x14ac:dyDescent="0.2">
      <c r="S8744" s="10"/>
    </row>
    <row r="8745" spans="19:19" x14ac:dyDescent="0.2">
      <c r="S8745" s="10"/>
    </row>
    <row r="8746" spans="19:19" x14ac:dyDescent="0.2">
      <c r="S8746" s="10"/>
    </row>
    <row r="8747" spans="19:19" x14ac:dyDescent="0.2">
      <c r="S8747" s="10"/>
    </row>
    <row r="8748" spans="19:19" x14ac:dyDescent="0.2">
      <c r="S8748" s="10"/>
    </row>
    <row r="8749" spans="19:19" x14ac:dyDescent="0.2">
      <c r="S8749" s="10"/>
    </row>
    <row r="8750" spans="19:19" x14ac:dyDescent="0.2">
      <c r="S8750" s="10"/>
    </row>
    <row r="8751" spans="19:19" x14ac:dyDescent="0.2">
      <c r="S8751" s="10"/>
    </row>
    <row r="8752" spans="19:19" x14ac:dyDescent="0.2">
      <c r="S8752" s="10"/>
    </row>
    <row r="8753" spans="19:19" x14ac:dyDescent="0.2">
      <c r="S8753" s="10"/>
    </row>
    <row r="8755" spans="19:19" x14ac:dyDescent="0.2">
      <c r="S8755" s="10"/>
    </row>
    <row r="8760" spans="19:19" x14ac:dyDescent="0.2">
      <c r="S8760" s="10"/>
    </row>
    <row r="8761" spans="19:19" x14ac:dyDescent="0.2">
      <c r="S8761" s="10"/>
    </row>
    <row r="8762" spans="19:19" x14ac:dyDescent="0.2">
      <c r="S8762" s="10"/>
    </row>
    <row r="8763" spans="19:19" x14ac:dyDescent="0.2">
      <c r="S8763" s="10"/>
    </row>
    <row r="8764" spans="19:19" x14ac:dyDescent="0.2">
      <c r="S8764" s="10"/>
    </row>
    <row r="8765" spans="19:19" x14ac:dyDescent="0.2">
      <c r="S8765" s="10"/>
    </row>
    <row r="8766" spans="19:19" x14ac:dyDescent="0.2">
      <c r="S8766" s="10"/>
    </row>
    <row r="8767" spans="19:19" x14ac:dyDescent="0.2">
      <c r="S8767" s="10"/>
    </row>
    <row r="8768" spans="19:19" x14ac:dyDescent="0.2">
      <c r="S8768" s="10"/>
    </row>
    <row r="8769" spans="19:19" x14ac:dyDescent="0.2">
      <c r="S8769" s="10"/>
    </row>
    <row r="8770" spans="19:19" x14ac:dyDescent="0.2">
      <c r="S8770" s="10"/>
    </row>
    <row r="8771" spans="19:19" x14ac:dyDescent="0.2">
      <c r="S8771" s="10"/>
    </row>
    <row r="8772" spans="19:19" x14ac:dyDescent="0.2">
      <c r="S8772" s="10"/>
    </row>
    <row r="8773" spans="19:19" x14ac:dyDescent="0.2">
      <c r="S8773" s="10"/>
    </row>
    <row r="8774" spans="19:19" x14ac:dyDescent="0.2">
      <c r="S8774" s="10"/>
    </row>
    <row r="8775" spans="19:19" x14ac:dyDescent="0.2">
      <c r="S8775" s="10"/>
    </row>
    <row r="8776" spans="19:19" x14ac:dyDescent="0.2">
      <c r="S8776" s="10"/>
    </row>
    <row r="8777" spans="19:19" x14ac:dyDescent="0.2">
      <c r="S8777" s="10"/>
    </row>
    <row r="8778" spans="19:19" x14ac:dyDescent="0.2">
      <c r="S8778" s="10"/>
    </row>
    <row r="8779" spans="19:19" x14ac:dyDescent="0.2">
      <c r="S8779" s="10"/>
    </row>
    <row r="8781" spans="19:19" x14ac:dyDescent="0.2">
      <c r="S8781" s="10"/>
    </row>
    <row r="8782" spans="19:19" x14ac:dyDescent="0.2">
      <c r="S8782" s="10"/>
    </row>
    <row r="8783" spans="19:19" x14ac:dyDescent="0.2">
      <c r="S8783" s="10"/>
    </row>
    <row r="8784" spans="19:19" x14ac:dyDescent="0.2">
      <c r="S8784" s="10"/>
    </row>
    <row r="8785" spans="19:19" x14ac:dyDescent="0.2">
      <c r="S8785" s="10"/>
    </row>
    <row r="8786" spans="19:19" x14ac:dyDescent="0.2">
      <c r="S8786" s="10"/>
    </row>
    <row r="8787" spans="19:19" x14ac:dyDescent="0.2">
      <c r="S8787" s="10"/>
    </row>
    <row r="8788" spans="19:19" x14ac:dyDescent="0.2">
      <c r="S8788" s="10"/>
    </row>
    <row r="8789" spans="19:19" x14ac:dyDescent="0.2">
      <c r="S8789" s="10"/>
    </row>
    <row r="8790" spans="19:19" x14ac:dyDescent="0.2">
      <c r="S8790" s="10"/>
    </row>
    <row r="8862" spans="19:19" x14ac:dyDescent="0.2">
      <c r="S8862" s="10"/>
    </row>
    <row r="8887" spans="19:19" x14ac:dyDescent="0.2">
      <c r="S8887" s="10"/>
    </row>
    <row r="8907" spans="19:19" x14ac:dyDescent="0.2">
      <c r="S8907" s="10"/>
    </row>
    <row r="8913" spans="19:19" x14ac:dyDescent="0.2">
      <c r="S8913" s="10"/>
    </row>
    <row r="8942" spans="19:19" x14ac:dyDescent="0.2">
      <c r="S8942" s="10"/>
    </row>
    <row r="8965" spans="19:19" x14ac:dyDescent="0.2">
      <c r="S8965" s="10"/>
    </row>
    <row r="8998" spans="19:19" x14ac:dyDescent="0.2">
      <c r="S8998" s="10"/>
    </row>
    <row r="8999" spans="19:19" x14ac:dyDescent="0.2">
      <c r="S8999" s="10"/>
    </row>
    <row r="9000" spans="19:19" x14ac:dyDescent="0.2">
      <c r="S9000" s="10"/>
    </row>
    <row r="9001" spans="19:19" x14ac:dyDescent="0.2">
      <c r="S9001" s="10"/>
    </row>
    <row r="9002" spans="19:19" x14ac:dyDescent="0.2">
      <c r="S9002" s="10"/>
    </row>
    <row r="9046" spans="19:19" x14ac:dyDescent="0.2">
      <c r="S9046" s="10"/>
    </row>
    <row r="9058" spans="19:19" x14ac:dyDescent="0.2">
      <c r="S9058" s="10"/>
    </row>
    <row r="9065" spans="19:19" x14ac:dyDescent="0.2">
      <c r="S9065" s="10"/>
    </row>
    <row r="9077" spans="19:19" x14ac:dyDescent="0.2">
      <c r="S9077" s="10"/>
    </row>
    <row r="9087" spans="19:19" x14ac:dyDescent="0.2">
      <c r="S9087" s="10"/>
    </row>
    <row r="9095" spans="19:19" x14ac:dyDescent="0.2">
      <c r="S9095" s="10"/>
    </row>
    <row r="9096" spans="19:19" x14ac:dyDescent="0.2">
      <c r="S9096" s="10"/>
    </row>
    <row r="9097" spans="19:19" x14ac:dyDescent="0.2">
      <c r="S9097" s="10"/>
    </row>
    <row r="9098" spans="19:19" x14ac:dyDescent="0.2">
      <c r="S9098" s="10"/>
    </row>
    <row r="9099" spans="19:19" x14ac:dyDescent="0.2">
      <c r="S9099" s="10"/>
    </row>
    <row r="9100" spans="19:19" x14ac:dyDescent="0.2">
      <c r="S9100" s="10"/>
    </row>
    <row r="9105" spans="19:19" x14ac:dyDescent="0.2">
      <c r="S9105" s="10"/>
    </row>
    <row r="9106" spans="19:19" x14ac:dyDescent="0.2">
      <c r="S9106" s="10"/>
    </row>
    <row r="9109" spans="19:19" x14ac:dyDescent="0.2">
      <c r="S9109" s="10"/>
    </row>
    <row r="9110" spans="19:19" x14ac:dyDescent="0.2">
      <c r="S9110" s="10"/>
    </row>
    <row r="9111" spans="19:19" x14ac:dyDescent="0.2">
      <c r="S9111" s="10"/>
    </row>
    <row r="9112" spans="19:19" x14ac:dyDescent="0.2">
      <c r="S9112" s="10"/>
    </row>
    <row r="9113" spans="19:19" x14ac:dyDescent="0.2">
      <c r="S9113" s="10"/>
    </row>
    <row r="9114" spans="19:19" x14ac:dyDescent="0.2">
      <c r="S9114" s="10"/>
    </row>
    <row r="9115" spans="19:19" x14ac:dyDescent="0.2">
      <c r="S9115" s="10"/>
    </row>
    <row r="9116" spans="19:19" x14ac:dyDescent="0.2">
      <c r="S9116" s="10"/>
    </row>
    <row r="9162" spans="19:19" x14ac:dyDescent="0.2">
      <c r="S9162" s="10"/>
    </row>
    <row r="9177" spans="19:19" x14ac:dyDescent="0.2">
      <c r="S9177" s="10"/>
    </row>
    <row r="9179" spans="19:19" x14ac:dyDescent="0.2">
      <c r="S9179" s="10"/>
    </row>
    <row r="9187" spans="19:19" x14ac:dyDescent="0.2">
      <c r="S9187" s="10"/>
    </row>
    <row r="9190" spans="19:19" x14ac:dyDescent="0.2">
      <c r="S9190" s="10"/>
    </row>
    <row r="9191" spans="19:19" x14ac:dyDescent="0.2">
      <c r="S9191" s="10"/>
    </row>
    <row r="9192" spans="19:19" x14ac:dyDescent="0.2">
      <c r="S9192" s="10"/>
    </row>
    <row r="9283" spans="19:19" x14ac:dyDescent="0.2">
      <c r="S9283" s="10"/>
    </row>
    <row r="9289" spans="19:19" x14ac:dyDescent="0.2">
      <c r="S9289" s="10"/>
    </row>
    <row r="9303" spans="19:19" x14ac:dyDescent="0.2">
      <c r="S9303" s="10"/>
    </row>
    <row r="9320" spans="19:19" x14ac:dyDescent="0.2">
      <c r="S9320" s="10"/>
    </row>
    <row r="9348" spans="19:19" x14ac:dyDescent="0.2">
      <c r="S9348" s="10"/>
    </row>
    <row r="9366" spans="19:19" x14ac:dyDescent="0.2">
      <c r="S9366" s="10"/>
    </row>
    <row r="9370" spans="19:19" x14ac:dyDescent="0.2">
      <c r="S9370" s="10"/>
    </row>
    <row r="9374" spans="19:19" x14ac:dyDescent="0.2">
      <c r="S9374" s="10"/>
    </row>
    <row r="9403" spans="19:19" x14ac:dyDescent="0.2">
      <c r="S9403" s="10"/>
    </row>
    <row r="9405" spans="19:19" x14ac:dyDescent="0.2">
      <c r="S9405" s="10"/>
    </row>
    <row r="9431" spans="19:19" x14ac:dyDescent="0.2">
      <c r="S9431" s="10"/>
    </row>
    <row r="9433" spans="19:19" x14ac:dyDescent="0.2">
      <c r="S9433" s="10"/>
    </row>
    <row r="9445" spans="19:19" x14ac:dyDescent="0.2">
      <c r="S9445" s="10"/>
    </row>
    <row r="9451" spans="19:19" x14ac:dyDescent="0.2">
      <c r="S9451" s="10"/>
    </row>
    <row r="9506" spans="19:19" x14ac:dyDescent="0.2">
      <c r="S9506" s="10"/>
    </row>
    <row r="9507" spans="19:19" x14ac:dyDescent="0.2">
      <c r="S9507" s="10"/>
    </row>
    <row r="9513" spans="19:19" x14ac:dyDescent="0.2">
      <c r="S9513" s="10"/>
    </row>
    <row r="9537" spans="19:19" x14ac:dyDescent="0.2">
      <c r="S9537" s="10"/>
    </row>
    <row r="9566" spans="19:19" x14ac:dyDescent="0.2">
      <c r="S9566" s="10"/>
    </row>
    <row r="9567" spans="19:19" x14ac:dyDescent="0.2">
      <c r="S9567" s="10"/>
    </row>
    <row r="9571" spans="19:19" x14ac:dyDescent="0.2">
      <c r="S9571" s="10"/>
    </row>
    <row r="9583" spans="19:19" x14ac:dyDescent="0.2">
      <c r="S9583" s="10"/>
    </row>
    <row r="9584" spans="19:19" x14ac:dyDescent="0.2">
      <c r="S9584" s="10"/>
    </row>
    <row r="9589" spans="19:19" x14ac:dyDescent="0.2">
      <c r="S9589" s="10"/>
    </row>
    <row r="9655" spans="19:19" x14ac:dyDescent="0.2">
      <c r="S9655" s="10"/>
    </row>
    <row r="9658" spans="19:19" x14ac:dyDescent="0.2">
      <c r="S9658" s="10"/>
    </row>
    <row r="9663" spans="19:19" x14ac:dyDescent="0.2">
      <c r="S9663" s="10"/>
    </row>
    <row r="9666" spans="19:19" x14ac:dyDescent="0.2">
      <c r="S9666" s="10"/>
    </row>
    <row r="9667" spans="19:19" x14ac:dyDescent="0.2">
      <c r="S9667" s="10"/>
    </row>
    <row r="9674" spans="19:19" x14ac:dyDescent="0.2">
      <c r="S9674" s="10"/>
    </row>
    <row r="9693" spans="19:19" x14ac:dyDescent="0.2">
      <c r="S9693" s="10"/>
    </row>
    <row r="9720" spans="19:19" x14ac:dyDescent="0.2">
      <c r="S9720" s="10"/>
    </row>
    <row r="9723" spans="19:19" x14ac:dyDescent="0.2">
      <c r="S9723" s="10"/>
    </row>
    <row r="9743" spans="19:19" x14ac:dyDescent="0.2">
      <c r="S9743" s="10"/>
    </row>
    <row r="9745" spans="19:19" x14ac:dyDescent="0.2">
      <c r="S9745" s="10"/>
    </row>
    <row r="9748" spans="19:19" x14ac:dyDescent="0.2">
      <c r="S9748" s="10"/>
    </row>
    <row r="9789" spans="19:19" x14ac:dyDescent="0.2">
      <c r="S9789" s="10"/>
    </row>
    <row r="9796" spans="19:19" x14ac:dyDescent="0.2">
      <c r="S9796" s="10"/>
    </row>
    <row r="9808" spans="19:19" x14ac:dyDescent="0.2">
      <c r="S9808" s="10"/>
    </row>
    <row r="9834" spans="19:19" x14ac:dyDescent="0.2">
      <c r="S9834" s="10"/>
    </row>
    <row r="9835" spans="19:19" x14ac:dyDescent="0.2">
      <c r="S9835" s="10"/>
    </row>
    <row r="9838" spans="19:19" x14ac:dyDescent="0.2">
      <c r="S9838" s="10"/>
    </row>
    <row r="9847" spans="19:19" x14ac:dyDescent="0.2">
      <c r="S9847" s="10"/>
    </row>
    <row r="9863" spans="19:19" x14ac:dyDescent="0.2">
      <c r="S9863" s="10"/>
    </row>
    <row r="9867" spans="19:19" x14ac:dyDescent="0.2">
      <c r="S9867" s="10"/>
    </row>
    <row r="9871" spans="19:19" x14ac:dyDescent="0.2">
      <c r="S9871" s="10"/>
    </row>
    <row r="9876" spans="19:19" x14ac:dyDescent="0.2">
      <c r="S9876" s="10"/>
    </row>
    <row r="9879" spans="19:19" x14ac:dyDescent="0.2">
      <c r="S9879" s="10"/>
    </row>
    <row r="9884" spans="19:19" x14ac:dyDescent="0.2">
      <c r="S9884" s="10"/>
    </row>
    <row r="9906" spans="19:19" x14ac:dyDescent="0.2">
      <c r="S9906" s="10"/>
    </row>
    <row r="9914" spans="19:19" x14ac:dyDescent="0.2">
      <c r="S9914" s="10"/>
    </row>
    <row r="9915" spans="19:19" x14ac:dyDescent="0.2">
      <c r="S9915" s="10"/>
    </row>
    <row r="9919" spans="19:19" x14ac:dyDescent="0.2">
      <c r="S9919" s="10"/>
    </row>
    <row r="9920" spans="19:19" x14ac:dyDescent="0.2">
      <c r="S9920" s="10"/>
    </row>
    <row r="9923" spans="19:19" x14ac:dyDescent="0.2">
      <c r="S9923" s="10"/>
    </row>
    <row r="9926" spans="19:19" x14ac:dyDescent="0.2">
      <c r="S9926" s="10"/>
    </row>
    <row r="9927" spans="19:19" x14ac:dyDescent="0.2">
      <c r="S9927" s="10"/>
    </row>
    <row r="9928" spans="19:19" x14ac:dyDescent="0.2">
      <c r="S9928" s="10"/>
    </row>
    <row r="9929" spans="19:19" x14ac:dyDescent="0.2">
      <c r="S9929" s="10"/>
    </row>
    <row r="9930" spans="19:19" x14ac:dyDescent="0.2">
      <c r="S9930" s="10"/>
    </row>
    <row r="9931" spans="19:19" x14ac:dyDescent="0.2">
      <c r="S9931" s="10"/>
    </row>
    <row r="9940" spans="19:19" x14ac:dyDescent="0.2">
      <c r="S9940" s="10"/>
    </row>
    <row r="9952" spans="19:19" x14ac:dyDescent="0.2">
      <c r="S9952" s="10"/>
    </row>
    <row r="10004" spans="19:19" x14ac:dyDescent="0.2">
      <c r="S10004" s="10"/>
    </row>
    <row r="10037" spans="19:19" x14ac:dyDescent="0.2">
      <c r="S10037" s="10"/>
    </row>
    <row r="10044" spans="19:19" x14ac:dyDescent="0.2">
      <c r="S10044" s="10"/>
    </row>
    <row r="10046" spans="19:19" x14ac:dyDescent="0.2">
      <c r="S10046" s="10"/>
    </row>
    <row r="10050" spans="19:19" x14ac:dyDescent="0.2">
      <c r="S10050" s="10"/>
    </row>
    <row r="10054" spans="19:19" x14ac:dyDescent="0.2">
      <c r="S10054" s="10"/>
    </row>
    <row r="10157" spans="19:19" x14ac:dyDescent="0.2">
      <c r="S10157" s="10"/>
    </row>
    <row r="10185" spans="19:19" x14ac:dyDescent="0.2">
      <c r="S10185" s="10"/>
    </row>
    <row r="10194" spans="19:19" x14ac:dyDescent="0.2">
      <c r="S10194" s="10"/>
    </row>
    <row r="10256" spans="19:19" x14ac:dyDescent="0.2">
      <c r="S10256" s="10"/>
    </row>
    <row r="10263" spans="19:19" x14ac:dyDescent="0.2">
      <c r="S10263" s="10"/>
    </row>
    <row r="10265" spans="19:19" x14ac:dyDescent="0.2">
      <c r="S10265" s="10"/>
    </row>
    <row r="10270" spans="19:19" x14ac:dyDescent="0.2">
      <c r="S10270" s="10"/>
    </row>
    <row r="10280" spans="19:19" x14ac:dyDescent="0.2">
      <c r="S10280" s="10"/>
    </row>
    <row r="10282" spans="19:19" x14ac:dyDescent="0.2">
      <c r="S10282" s="10"/>
    </row>
    <row r="10312" spans="19:19" x14ac:dyDescent="0.2">
      <c r="S10312" s="10"/>
    </row>
    <row r="10313" spans="19:19" x14ac:dyDescent="0.2">
      <c r="S10313" s="10"/>
    </row>
    <row r="10314" spans="19:19" x14ac:dyDescent="0.2">
      <c r="S10314" s="10"/>
    </row>
    <row r="10315" spans="19:19" x14ac:dyDescent="0.2">
      <c r="S10315" s="10"/>
    </row>
    <row r="10377" spans="19:19" x14ac:dyDescent="0.2">
      <c r="S10377" s="10"/>
    </row>
    <row r="10416" spans="19:19" x14ac:dyDescent="0.2">
      <c r="S10416" s="10"/>
    </row>
    <row r="10435" spans="19:19" x14ac:dyDescent="0.2">
      <c r="S10435" s="10"/>
    </row>
    <row r="10438" spans="19:19" x14ac:dyDescent="0.2">
      <c r="S10438" s="10"/>
    </row>
    <row r="10461" spans="19:19" x14ac:dyDescent="0.2">
      <c r="S10461" s="10"/>
    </row>
    <row r="10463" spans="19:19" x14ac:dyDescent="0.2">
      <c r="S10463" s="10"/>
    </row>
    <row r="10465" spans="19:19" x14ac:dyDescent="0.2">
      <c r="S10465" s="10"/>
    </row>
    <row r="10476" spans="19:19" x14ac:dyDescent="0.2">
      <c r="S10476" s="10"/>
    </row>
    <row r="10484" spans="19:19" x14ac:dyDescent="0.2">
      <c r="S10484" s="10"/>
    </row>
    <row r="10517" spans="19:19" x14ac:dyDescent="0.2">
      <c r="S10517" s="10"/>
    </row>
    <row r="10563" spans="19:19" x14ac:dyDescent="0.2">
      <c r="S10563" s="10"/>
    </row>
    <row r="10608" spans="19:19" x14ac:dyDescent="0.2">
      <c r="S10608" s="10"/>
    </row>
    <row r="10609" spans="19:19" x14ac:dyDescent="0.2">
      <c r="S10609" s="10"/>
    </row>
    <row r="10610" spans="19:19" x14ac:dyDescent="0.2">
      <c r="S10610" s="10"/>
    </row>
    <row r="10611" spans="19:19" x14ac:dyDescent="0.2">
      <c r="S10611" s="10"/>
    </row>
    <row r="10612" spans="19:19" x14ac:dyDescent="0.2">
      <c r="S10612" s="10"/>
    </row>
    <row r="10613" spans="19:19" x14ac:dyDescent="0.2">
      <c r="S10613" s="10"/>
    </row>
    <row r="10614" spans="19:19" x14ac:dyDescent="0.2">
      <c r="S10614" s="10"/>
    </row>
    <row r="10630" spans="19:19" x14ac:dyDescent="0.2">
      <c r="S10630" s="10"/>
    </row>
    <row r="10636" spans="19:19" x14ac:dyDescent="0.2">
      <c r="S10636" s="10"/>
    </row>
    <row r="10665" spans="19:19" x14ac:dyDescent="0.2">
      <c r="S10665" s="10"/>
    </row>
    <row r="10703" spans="19:19" x14ac:dyDescent="0.2">
      <c r="S10703" s="10"/>
    </row>
    <row r="10747" spans="19:19" x14ac:dyDescent="0.2">
      <c r="S10747" s="10"/>
    </row>
    <row r="10752" spans="19:19" x14ac:dyDescent="0.2">
      <c r="S10752" s="10"/>
    </row>
    <row r="10793" spans="19:19" x14ac:dyDescent="0.2">
      <c r="S10793" s="10"/>
    </row>
    <row r="10857" spans="19:19" x14ac:dyDescent="0.2">
      <c r="S10857" s="10"/>
    </row>
    <row r="10859" spans="19:19" x14ac:dyDescent="0.2">
      <c r="S10859" s="10"/>
    </row>
    <row r="10860" spans="19:19" x14ac:dyDescent="0.2">
      <c r="S10860" s="10"/>
    </row>
    <row r="10861" spans="19:19" x14ac:dyDescent="0.2">
      <c r="S10861" s="10"/>
    </row>
    <row r="10862" spans="19:19" x14ac:dyDescent="0.2">
      <c r="S10862" s="10"/>
    </row>
    <row r="10888" spans="19:19" x14ac:dyDescent="0.2">
      <c r="S10888" s="10"/>
    </row>
    <row r="10890" spans="19:19" x14ac:dyDescent="0.2">
      <c r="S10890" s="10"/>
    </row>
    <row r="10892" spans="19:19" x14ac:dyDescent="0.2">
      <c r="S10892" s="10"/>
    </row>
    <row r="10898" spans="19:19" x14ac:dyDescent="0.2">
      <c r="S10898" s="10"/>
    </row>
    <row r="10973" spans="19:19" x14ac:dyDescent="0.2">
      <c r="S10973" s="10"/>
    </row>
    <row r="10979" spans="19:19" x14ac:dyDescent="0.2">
      <c r="S10979" s="10"/>
    </row>
    <row r="10980" spans="19:19" x14ac:dyDescent="0.2">
      <c r="S10980" s="10"/>
    </row>
    <row r="10988" spans="19:19" x14ac:dyDescent="0.2">
      <c r="S10988" s="10"/>
    </row>
    <row r="10990" spans="19:19" x14ac:dyDescent="0.2">
      <c r="S10990" s="10"/>
    </row>
    <row r="11008" spans="19:19" x14ac:dyDescent="0.2">
      <c r="S11008" s="10"/>
    </row>
    <row r="11009" spans="19:19" x14ac:dyDescent="0.2">
      <c r="S11009" s="10"/>
    </row>
    <row r="11010" spans="19:19" x14ac:dyDescent="0.2">
      <c r="S11010" s="10"/>
    </row>
    <row r="11011" spans="19:19" x14ac:dyDescent="0.2">
      <c r="S11011" s="10"/>
    </row>
    <row r="11012" spans="19:19" x14ac:dyDescent="0.2">
      <c r="S11012" s="10"/>
    </row>
    <row r="11013" spans="19:19" x14ac:dyDescent="0.2">
      <c r="S11013" s="10"/>
    </row>
    <row r="11014" spans="19:19" x14ac:dyDescent="0.2">
      <c r="S11014" s="10"/>
    </row>
    <row r="11015" spans="19:19" x14ac:dyDescent="0.2">
      <c r="S11015" s="10"/>
    </row>
    <row r="11016" spans="19:19" x14ac:dyDescent="0.2">
      <c r="S11016" s="10"/>
    </row>
    <row r="11017" spans="19:19" x14ac:dyDescent="0.2">
      <c r="S11017" s="10"/>
    </row>
    <row r="11018" spans="19:19" x14ac:dyDescent="0.2">
      <c r="S11018" s="10"/>
    </row>
    <row r="11019" spans="19:19" x14ac:dyDescent="0.2">
      <c r="S11019" s="10"/>
    </row>
    <row r="11020" spans="19:19" x14ac:dyDescent="0.2">
      <c r="S11020" s="10"/>
    </row>
    <row r="11021" spans="19:19" x14ac:dyDescent="0.2">
      <c r="S11021" s="10"/>
    </row>
    <row r="11022" spans="19:19" x14ac:dyDescent="0.2">
      <c r="S11022" s="10"/>
    </row>
    <row r="11023" spans="19:19" x14ac:dyDescent="0.2">
      <c r="S11023" s="10"/>
    </row>
    <row r="11024" spans="19:19" x14ac:dyDescent="0.2">
      <c r="S11024" s="10"/>
    </row>
    <row r="11025" spans="19:19" x14ac:dyDescent="0.2">
      <c r="S11025" s="10"/>
    </row>
    <row r="11026" spans="19:19" x14ac:dyDescent="0.2">
      <c r="S11026" s="10"/>
    </row>
    <row r="11027" spans="19:19" x14ac:dyDescent="0.2">
      <c r="S11027" s="10"/>
    </row>
    <row r="11029" spans="19:19" x14ac:dyDescent="0.2">
      <c r="S11029" s="10"/>
    </row>
    <row r="11030" spans="19:19" x14ac:dyDescent="0.2">
      <c r="S11030" s="10"/>
    </row>
    <row r="11031" spans="19:19" x14ac:dyDescent="0.2">
      <c r="S11031" s="10"/>
    </row>
    <row r="11032" spans="19:19" x14ac:dyDescent="0.2">
      <c r="S11032" s="10"/>
    </row>
    <row r="11033" spans="19:19" x14ac:dyDescent="0.2">
      <c r="S11033" s="10"/>
    </row>
    <row r="11034" spans="19:19" x14ac:dyDescent="0.2">
      <c r="S11034" s="10"/>
    </row>
    <row r="11035" spans="19:19" x14ac:dyDescent="0.2">
      <c r="S11035" s="10"/>
    </row>
    <row r="11036" spans="19:19" x14ac:dyDescent="0.2">
      <c r="S11036" s="10"/>
    </row>
    <row r="11037" spans="19:19" x14ac:dyDescent="0.2">
      <c r="S11037" s="10"/>
    </row>
    <row r="11038" spans="19:19" x14ac:dyDescent="0.2">
      <c r="S11038" s="10"/>
    </row>
    <row r="11039" spans="19:19" x14ac:dyDescent="0.2">
      <c r="S11039" s="10"/>
    </row>
    <row r="11040" spans="19:19" x14ac:dyDescent="0.2">
      <c r="S11040" s="10"/>
    </row>
    <row r="11041" spans="19:19" x14ac:dyDescent="0.2">
      <c r="S11041" s="10"/>
    </row>
    <row r="11042" spans="19:19" x14ac:dyDescent="0.2">
      <c r="S11042" s="10"/>
    </row>
    <row r="11043" spans="19:19" x14ac:dyDescent="0.2">
      <c r="S11043" s="10"/>
    </row>
    <row r="11044" spans="19:19" x14ac:dyDescent="0.2">
      <c r="S11044" s="10"/>
    </row>
    <row r="11045" spans="19:19" x14ac:dyDescent="0.2">
      <c r="S11045" s="10"/>
    </row>
    <row r="11046" spans="19:19" x14ac:dyDescent="0.2">
      <c r="S11046" s="10"/>
    </row>
    <row r="11047" spans="19:19" x14ac:dyDescent="0.2">
      <c r="S11047" s="10"/>
    </row>
    <row r="11048" spans="19:19" x14ac:dyDescent="0.2">
      <c r="S11048" s="10"/>
    </row>
    <row r="11049" spans="19:19" x14ac:dyDescent="0.2">
      <c r="S11049" s="10"/>
    </row>
    <row r="11050" spans="19:19" x14ac:dyDescent="0.2">
      <c r="S11050" s="10"/>
    </row>
    <row r="11051" spans="19:19" x14ac:dyDescent="0.2">
      <c r="S11051" s="10"/>
    </row>
    <row r="11052" spans="19:19" x14ac:dyDescent="0.2">
      <c r="S11052" s="10"/>
    </row>
    <row r="11053" spans="19:19" x14ac:dyDescent="0.2">
      <c r="S11053" s="10"/>
    </row>
    <row r="11054" spans="19:19" x14ac:dyDescent="0.2">
      <c r="S11054" s="10"/>
    </row>
    <row r="11055" spans="19:19" x14ac:dyDescent="0.2">
      <c r="S11055" s="10"/>
    </row>
    <row r="11056" spans="19:19" x14ac:dyDescent="0.2">
      <c r="S11056" s="10"/>
    </row>
    <row r="11057" spans="19:19" x14ac:dyDescent="0.2">
      <c r="S11057" s="10"/>
    </row>
    <row r="11058" spans="19:19" x14ac:dyDescent="0.2">
      <c r="S11058" s="10"/>
    </row>
    <row r="11059" spans="19:19" x14ac:dyDescent="0.2">
      <c r="S11059" s="10"/>
    </row>
    <row r="11060" spans="19:19" x14ac:dyDescent="0.2">
      <c r="S11060" s="10"/>
    </row>
    <row r="11061" spans="19:19" x14ac:dyDescent="0.2">
      <c r="S11061" s="10"/>
    </row>
    <row r="11062" spans="19:19" x14ac:dyDescent="0.2">
      <c r="S11062" s="10"/>
    </row>
    <row r="11065" spans="19:19" x14ac:dyDescent="0.2">
      <c r="S11065" s="10"/>
    </row>
    <row r="11066" spans="19:19" x14ac:dyDescent="0.2">
      <c r="S11066" s="10"/>
    </row>
    <row r="11067" spans="19:19" x14ac:dyDescent="0.2">
      <c r="S11067" s="10"/>
    </row>
    <row r="11068" spans="19:19" x14ac:dyDescent="0.2">
      <c r="S11068" s="10"/>
    </row>
    <row r="11071" spans="19:19" x14ac:dyDescent="0.2">
      <c r="S11071" s="10"/>
    </row>
    <row r="11072" spans="19:19" x14ac:dyDescent="0.2">
      <c r="S11072" s="10"/>
    </row>
    <row r="11075" spans="19:19" x14ac:dyDescent="0.2">
      <c r="S11075" s="10"/>
    </row>
    <row r="11076" spans="19:19" x14ac:dyDescent="0.2">
      <c r="S11076" s="10"/>
    </row>
    <row r="11077" spans="19:19" x14ac:dyDescent="0.2">
      <c r="S11077" s="10"/>
    </row>
    <row r="11078" spans="19:19" x14ac:dyDescent="0.2">
      <c r="S11078" s="10"/>
    </row>
    <row r="11079" spans="19:19" x14ac:dyDescent="0.2">
      <c r="S11079" s="10"/>
    </row>
    <row r="11080" spans="19:19" x14ac:dyDescent="0.2">
      <c r="S11080" s="10"/>
    </row>
    <row r="11081" spans="19:19" x14ac:dyDescent="0.2">
      <c r="S11081" s="10"/>
    </row>
    <row r="11084" spans="19:19" x14ac:dyDescent="0.2">
      <c r="S11084" s="10"/>
    </row>
    <row r="11085" spans="19:19" x14ac:dyDescent="0.2">
      <c r="S11085" s="10"/>
    </row>
    <row r="11086" spans="19:19" x14ac:dyDescent="0.2">
      <c r="S11086" s="10"/>
    </row>
    <row r="11089" spans="19:19" x14ac:dyDescent="0.2">
      <c r="S11089" s="10"/>
    </row>
    <row r="11090" spans="19:19" x14ac:dyDescent="0.2">
      <c r="S11090" s="10"/>
    </row>
    <row r="11091" spans="19:19" x14ac:dyDescent="0.2">
      <c r="S11091" s="10"/>
    </row>
    <row r="11094" spans="19:19" x14ac:dyDescent="0.2">
      <c r="S11094" s="10"/>
    </row>
    <row r="11095" spans="19:19" x14ac:dyDescent="0.2">
      <c r="S11095" s="10"/>
    </row>
    <row r="11096" spans="19:19" x14ac:dyDescent="0.2">
      <c r="S11096" s="10"/>
    </row>
    <row r="11101" spans="19:19" x14ac:dyDescent="0.2">
      <c r="S11101" s="10"/>
    </row>
    <row r="11102" spans="19:19" x14ac:dyDescent="0.2">
      <c r="S11102" s="10"/>
    </row>
    <row r="11103" spans="19:19" x14ac:dyDescent="0.2">
      <c r="S11103" s="10"/>
    </row>
    <row r="11104" spans="19:19" x14ac:dyDescent="0.2">
      <c r="S11104" s="10"/>
    </row>
    <row r="11107" spans="19:19" x14ac:dyDescent="0.2">
      <c r="S11107" s="10"/>
    </row>
    <row r="11108" spans="19:19" x14ac:dyDescent="0.2">
      <c r="S11108" s="10"/>
    </row>
    <row r="11109" spans="19:19" x14ac:dyDescent="0.2">
      <c r="S11109" s="10"/>
    </row>
    <row r="11110" spans="19:19" x14ac:dyDescent="0.2">
      <c r="S11110" s="10"/>
    </row>
    <row r="11111" spans="19:19" x14ac:dyDescent="0.2">
      <c r="S11111" s="10"/>
    </row>
    <row r="11112" spans="19:19" x14ac:dyDescent="0.2">
      <c r="S11112" s="10"/>
    </row>
    <row r="11115" spans="19:19" x14ac:dyDescent="0.2">
      <c r="S11115" s="10"/>
    </row>
    <row r="11116" spans="19:19" x14ac:dyDescent="0.2">
      <c r="S11116" s="10"/>
    </row>
    <row r="11117" spans="19:19" x14ac:dyDescent="0.2">
      <c r="S11117" s="10"/>
    </row>
    <row r="11118" spans="19:19" x14ac:dyDescent="0.2">
      <c r="S11118" s="10"/>
    </row>
    <row r="11119" spans="19:19" x14ac:dyDescent="0.2">
      <c r="S11119" s="10"/>
    </row>
    <row r="11120" spans="19:19" x14ac:dyDescent="0.2">
      <c r="S11120" s="10"/>
    </row>
    <row r="11121" spans="19:19" x14ac:dyDescent="0.2">
      <c r="S11121" s="10"/>
    </row>
    <row r="11122" spans="19:19" x14ac:dyDescent="0.2">
      <c r="S11122" s="10"/>
    </row>
    <row r="11123" spans="19:19" x14ac:dyDescent="0.2">
      <c r="S11123" s="10"/>
    </row>
    <row r="11126" spans="19:19" x14ac:dyDescent="0.2">
      <c r="S11126" s="10"/>
    </row>
    <row r="11128" spans="19:19" x14ac:dyDescent="0.2">
      <c r="S11128" s="10"/>
    </row>
    <row r="11129" spans="19:19" x14ac:dyDescent="0.2">
      <c r="S11129" s="10"/>
    </row>
    <row r="11132" spans="19:19" x14ac:dyDescent="0.2">
      <c r="S11132" s="10"/>
    </row>
    <row r="11137" spans="19:19" x14ac:dyDescent="0.2">
      <c r="S11137" s="10"/>
    </row>
    <row r="11140" spans="19:19" x14ac:dyDescent="0.2">
      <c r="S11140" s="10"/>
    </row>
    <row r="11142" spans="19:19" x14ac:dyDescent="0.2">
      <c r="S11142" s="10"/>
    </row>
    <row r="11143" spans="19:19" x14ac:dyDescent="0.2">
      <c r="S11143" s="10"/>
    </row>
    <row r="11145" spans="19:19" x14ac:dyDescent="0.2">
      <c r="S11145" s="10"/>
    </row>
    <row r="11146" spans="19:19" x14ac:dyDescent="0.2">
      <c r="S11146" s="10"/>
    </row>
    <row r="11148" spans="19:19" x14ac:dyDescent="0.2">
      <c r="S11148" s="10"/>
    </row>
    <row r="11153" spans="19:19" x14ac:dyDescent="0.2">
      <c r="S11153" s="10"/>
    </row>
    <row r="11154" spans="19:19" x14ac:dyDescent="0.2">
      <c r="S11154" s="10"/>
    </row>
    <row r="11157" spans="19:19" x14ac:dyDescent="0.2">
      <c r="S11157" s="10"/>
    </row>
    <row r="11158" spans="19:19" x14ac:dyDescent="0.2">
      <c r="S11158" s="10"/>
    </row>
    <row r="11161" spans="19:19" x14ac:dyDescent="0.2">
      <c r="S11161" s="10"/>
    </row>
    <row r="11162" spans="19:19" x14ac:dyDescent="0.2">
      <c r="S11162" s="10"/>
    </row>
    <row r="11165" spans="19:19" x14ac:dyDescent="0.2">
      <c r="S11165" s="10"/>
    </row>
    <row r="11166" spans="19:19" x14ac:dyDescent="0.2">
      <c r="S11166" s="10"/>
    </row>
    <row r="11169" spans="19:19" x14ac:dyDescent="0.2">
      <c r="S11169" s="10"/>
    </row>
    <row r="11170" spans="19:19" x14ac:dyDescent="0.2">
      <c r="S11170" s="10"/>
    </row>
    <row r="11173" spans="19:19" x14ac:dyDescent="0.2">
      <c r="S11173" s="10"/>
    </row>
    <row r="11174" spans="19:19" x14ac:dyDescent="0.2">
      <c r="S11174" s="10"/>
    </row>
    <row r="11177" spans="19:19" x14ac:dyDescent="0.2">
      <c r="S11177" s="10"/>
    </row>
    <row r="11178" spans="19:19" x14ac:dyDescent="0.2">
      <c r="S11178" s="10"/>
    </row>
    <row r="11179" spans="19:19" x14ac:dyDescent="0.2">
      <c r="S11179" s="10"/>
    </row>
    <row r="11200" spans="19:19" x14ac:dyDescent="0.2">
      <c r="S11200" s="10"/>
    </row>
    <row r="11201" spans="19:19" x14ac:dyDescent="0.2">
      <c r="S11201" s="10"/>
    </row>
    <row r="11239" spans="19:19" x14ac:dyDescent="0.2">
      <c r="S11239" s="10"/>
    </row>
    <row r="11256" spans="19:19" x14ac:dyDescent="0.2">
      <c r="S11256" s="10"/>
    </row>
    <row r="11272" spans="19:19" x14ac:dyDescent="0.2">
      <c r="S11272" s="10"/>
    </row>
    <row r="11273" spans="19:19" x14ac:dyDescent="0.2">
      <c r="S11273" s="10"/>
    </row>
    <row r="11274" spans="19:19" x14ac:dyDescent="0.2">
      <c r="S11274" s="10"/>
    </row>
    <row r="11275" spans="19:19" x14ac:dyDescent="0.2">
      <c r="S11275" s="10"/>
    </row>
    <row r="11283" spans="19:19" x14ac:dyDescent="0.2">
      <c r="S11283" s="10"/>
    </row>
    <row r="11299" spans="19:19" x14ac:dyDescent="0.2">
      <c r="S11299" s="10"/>
    </row>
    <row r="11300" spans="19:19" x14ac:dyDescent="0.2">
      <c r="S11300" s="10"/>
    </row>
    <row r="11312" spans="19:19" x14ac:dyDescent="0.2">
      <c r="S11312" s="10"/>
    </row>
    <row r="11313" spans="19:19" x14ac:dyDescent="0.2">
      <c r="S11313" s="10"/>
    </row>
    <row r="11314" spans="19:19" x14ac:dyDescent="0.2">
      <c r="S11314" s="10"/>
    </row>
    <row r="11315" spans="19:19" x14ac:dyDescent="0.2">
      <c r="S11315" s="10"/>
    </row>
    <row r="11316" spans="19:19" x14ac:dyDescent="0.2">
      <c r="S11316" s="10"/>
    </row>
    <row r="11332" spans="19:19" x14ac:dyDescent="0.2">
      <c r="S11332" s="10"/>
    </row>
    <row r="11338" spans="19:19" x14ac:dyDescent="0.2">
      <c r="S11338" s="10"/>
    </row>
    <row r="11339" spans="19:19" x14ac:dyDescent="0.2">
      <c r="S11339" s="10"/>
    </row>
    <row r="11340" spans="19:19" x14ac:dyDescent="0.2">
      <c r="S11340" s="10"/>
    </row>
    <row r="11341" spans="19:19" x14ac:dyDescent="0.2">
      <c r="S11341" s="10"/>
    </row>
    <row r="11342" spans="19:19" x14ac:dyDescent="0.2">
      <c r="S11342" s="10"/>
    </row>
    <row r="11343" spans="19:19" x14ac:dyDescent="0.2">
      <c r="S11343" s="10"/>
    </row>
    <row r="11344" spans="19:19" x14ac:dyDescent="0.2">
      <c r="S11344" s="10"/>
    </row>
    <row r="11366" spans="19:19" x14ac:dyDescent="0.2">
      <c r="S11366" s="10"/>
    </row>
    <row r="11368" spans="19:19" x14ac:dyDescent="0.2">
      <c r="S11368" s="10"/>
    </row>
    <row r="11413" spans="19:19" x14ac:dyDescent="0.2">
      <c r="S11413" s="10"/>
    </row>
    <row r="11414" spans="19:19" x14ac:dyDescent="0.2">
      <c r="S11414" s="10"/>
    </row>
    <row r="11415" spans="19:19" x14ac:dyDescent="0.2">
      <c r="S11415" s="10"/>
    </row>
    <row r="11418" spans="19:19" x14ac:dyDescent="0.2">
      <c r="S11418" s="10"/>
    </row>
    <row r="11450" spans="19:19" x14ac:dyDescent="0.2">
      <c r="S11450" s="10"/>
    </row>
    <row r="11463" spans="19:19" x14ac:dyDescent="0.2">
      <c r="S11463" s="10"/>
    </row>
    <row r="11480" spans="19:19" x14ac:dyDescent="0.2">
      <c r="S11480" s="10"/>
    </row>
    <row r="11482" spans="19:19" x14ac:dyDescent="0.2">
      <c r="S11482" s="10"/>
    </row>
    <row r="11488" spans="19:19" x14ac:dyDescent="0.2">
      <c r="S11488" s="10"/>
    </row>
    <row r="11493" spans="19:19" x14ac:dyDescent="0.2">
      <c r="S11493" s="10"/>
    </row>
    <row r="11531" spans="19:19" x14ac:dyDescent="0.2">
      <c r="S11531" s="10"/>
    </row>
    <row r="11533" spans="19:19" x14ac:dyDescent="0.2">
      <c r="S11533" s="10"/>
    </row>
    <row r="11537" spans="19:19" x14ac:dyDescent="0.2">
      <c r="S11537" s="10"/>
    </row>
    <row r="11551" spans="19:19" x14ac:dyDescent="0.2">
      <c r="S11551" s="10"/>
    </row>
    <row r="11557" spans="19:19" x14ac:dyDescent="0.2">
      <c r="S11557" s="10"/>
    </row>
    <row r="11665" spans="19:19" x14ac:dyDescent="0.2">
      <c r="S11665" s="10"/>
    </row>
    <row r="11706" spans="19:19" x14ac:dyDescent="0.2">
      <c r="S11706" s="10"/>
    </row>
    <row r="11746" spans="19:19" x14ac:dyDescent="0.2">
      <c r="S11746" s="10"/>
    </row>
    <row r="11808" spans="19:19" x14ac:dyDescent="0.2">
      <c r="S11808" s="10"/>
    </row>
    <row r="11841" spans="19:19" x14ac:dyDescent="0.2">
      <c r="S11841" s="10"/>
    </row>
    <row r="11876" spans="19:19" x14ac:dyDescent="0.2">
      <c r="S11876" s="10"/>
    </row>
    <row r="11885" spans="19:19" x14ac:dyDescent="0.2">
      <c r="S11885" s="10"/>
    </row>
    <row r="11932" spans="19:19" x14ac:dyDescent="0.2">
      <c r="S11932" s="10"/>
    </row>
    <row r="11937" spans="19:19" x14ac:dyDescent="0.2">
      <c r="S11937" s="10"/>
    </row>
    <row r="11938" spans="19:19" x14ac:dyDescent="0.2">
      <c r="S11938" s="10"/>
    </row>
    <row r="11942" spans="19:19" x14ac:dyDescent="0.2">
      <c r="S11942" s="10"/>
    </row>
    <row r="11947" spans="19:19" x14ac:dyDescent="0.2">
      <c r="S11947" s="10"/>
    </row>
    <row r="11956" spans="19:19" x14ac:dyDescent="0.2">
      <c r="S11956" s="10"/>
    </row>
    <row r="11957" spans="19:19" x14ac:dyDescent="0.2">
      <c r="S11957" s="10"/>
    </row>
    <row r="11964" spans="19:19" x14ac:dyDescent="0.2">
      <c r="S11964" s="10"/>
    </row>
    <row r="11973" spans="19:19" x14ac:dyDescent="0.2">
      <c r="S11973" s="10"/>
    </row>
    <row r="12001" spans="19:19" x14ac:dyDescent="0.2">
      <c r="S12001" s="10"/>
    </row>
    <row r="12088" spans="19:19" x14ac:dyDescent="0.2">
      <c r="S12088" s="10"/>
    </row>
    <row r="12091" spans="19:19" x14ac:dyDescent="0.2">
      <c r="S12091" s="10"/>
    </row>
    <row r="12092" spans="19:19" x14ac:dyDescent="0.2">
      <c r="S12092" s="10"/>
    </row>
    <row r="12093" spans="19:19" x14ac:dyDescent="0.2">
      <c r="S12093" s="10"/>
    </row>
    <row r="12094" spans="19:19" x14ac:dyDescent="0.2">
      <c r="S12094" s="10"/>
    </row>
    <row r="12095" spans="19:19" x14ac:dyDescent="0.2">
      <c r="S12095" s="10"/>
    </row>
    <row r="12096" spans="19:19" x14ac:dyDescent="0.2">
      <c r="S12096" s="10"/>
    </row>
    <row r="12097" spans="19:19" x14ac:dyDescent="0.2">
      <c r="S12097" s="10"/>
    </row>
    <row r="12098" spans="19:19" x14ac:dyDescent="0.2">
      <c r="S12098" s="10"/>
    </row>
    <row r="12099" spans="19:19" x14ac:dyDescent="0.2">
      <c r="S12099" s="10"/>
    </row>
    <row r="12100" spans="19:19" x14ac:dyDescent="0.2">
      <c r="S12100" s="10"/>
    </row>
    <row r="12101" spans="19:19" x14ac:dyDescent="0.2">
      <c r="S12101" s="10"/>
    </row>
    <row r="12120" spans="19:19" x14ac:dyDescent="0.2">
      <c r="S12120" s="10"/>
    </row>
    <row r="12130" spans="19:19" x14ac:dyDescent="0.2">
      <c r="S12130" s="10"/>
    </row>
    <row r="12140" spans="19:19" x14ac:dyDescent="0.2">
      <c r="S12140" s="10"/>
    </row>
    <row r="12155" spans="19:19" x14ac:dyDescent="0.2">
      <c r="S12155" s="10"/>
    </row>
    <row r="12171" spans="19:19" x14ac:dyDescent="0.2">
      <c r="S12171" s="10"/>
    </row>
    <row r="12173" spans="19:19" x14ac:dyDescent="0.2">
      <c r="S12173" s="10"/>
    </row>
    <row r="12187" spans="19:19" x14ac:dyDescent="0.2">
      <c r="S12187" s="10"/>
    </row>
    <row r="12188" spans="19:19" x14ac:dyDescent="0.2">
      <c r="S12188" s="10"/>
    </row>
    <row r="12200" spans="19:19" x14ac:dyDescent="0.2">
      <c r="S12200" s="10"/>
    </row>
    <row r="12202" spans="19:19" x14ac:dyDescent="0.2">
      <c r="S12202" s="10"/>
    </row>
    <row r="12206" spans="19:19" x14ac:dyDescent="0.2">
      <c r="S12206" s="10"/>
    </row>
    <row r="12210" spans="19:19" x14ac:dyDescent="0.2">
      <c r="S12210" s="10"/>
    </row>
    <row r="12216" spans="19:19" x14ac:dyDescent="0.2">
      <c r="S12216" s="10"/>
    </row>
    <row r="12277" spans="19:19" x14ac:dyDescent="0.2">
      <c r="S12277" s="10"/>
    </row>
    <row r="12311" spans="19:19" x14ac:dyDescent="0.2">
      <c r="S12311" s="10"/>
    </row>
    <row r="12312" spans="19:19" x14ac:dyDescent="0.2">
      <c r="S12312" s="10"/>
    </row>
    <row r="12313" spans="19:19" x14ac:dyDescent="0.2">
      <c r="S12313" s="10"/>
    </row>
    <row r="12314" spans="19:19" x14ac:dyDescent="0.2">
      <c r="S12314" s="10"/>
    </row>
    <row r="12315" spans="19:19" x14ac:dyDescent="0.2">
      <c r="S12315" s="10"/>
    </row>
    <row r="12365" spans="19:19" x14ac:dyDescent="0.2">
      <c r="S12365" s="10"/>
    </row>
    <row r="12366" spans="19:19" x14ac:dyDescent="0.2">
      <c r="S12366" s="10"/>
    </row>
    <row r="12367" spans="19:19" x14ac:dyDescent="0.2">
      <c r="S12367" s="10"/>
    </row>
    <row r="12368" spans="19:19" x14ac:dyDescent="0.2">
      <c r="S12368" s="10"/>
    </row>
    <row r="12369" spans="19:19" x14ac:dyDescent="0.2">
      <c r="S12369" s="10"/>
    </row>
    <row r="12370" spans="19:19" x14ac:dyDescent="0.2">
      <c r="S12370" s="10"/>
    </row>
    <row r="12371" spans="19:19" x14ac:dyDescent="0.2">
      <c r="S12371" s="10"/>
    </row>
    <row r="12372" spans="19:19" x14ac:dyDescent="0.2">
      <c r="S12372" s="10"/>
    </row>
    <row r="12373" spans="19:19" x14ac:dyDescent="0.2">
      <c r="S12373" s="10"/>
    </row>
    <row r="12374" spans="19:19" x14ac:dyDescent="0.2">
      <c r="S12374" s="10"/>
    </row>
    <row r="12375" spans="19:19" x14ac:dyDescent="0.2">
      <c r="S12375" s="10"/>
    </row>
    <row r="12376" spans="19:19" x14ac:dyDescent="0.2">
      <c r="S12376" s="10"/>
    </row>
    <row r="12377" spans="19:19" x14ac:dyDescent="0.2">
      <c r="S12377" s="10"/>
    </row>
    <row r="12378" spans="19:19" x14ac:dyDescent="0.2">
      <c r="S12378" s="10"/>
    </row>
    <row r="12379" spans="19:19" x14ac:dyDescent="0.2">
      <c r="S12379" s="10"/>
    </row>
    <row r="12380" spans="19:19" x14ac:dyDescent="0.2">
      <c r="S12380" s="10"/>
    </row>
    <row r="12381" spans="19:19" x14ac:dyDescent="0.2">
      <c r="S12381" s="10"/>
    </row>
    <row r="12382" spans="19:19" x14ac:dyDescent="0.2">
      <c r="S12382" s="10"/>
    </row>
    <row r="12383" spans="19:19" x14ac:dyDescent="0.2">
      <c r="S12383" s="10"/>
    </row>
    <row r="12384" spans="19:19" x14ac:dyDescent="0.2">
      <c r="S12384" s="10"/>
    </row>
    <row r="12385" spans="19:19" x14ac:dyDescent="0.2">
      <c r="S12385" s="10"/>
    </row>
    <row r="12386" spans="19:19" x14ac:dyDescent="0.2">
      <c r="S12386" s="10"/>
    </row>
    <row r="12387" spans="19:19" x14ac:dyDescent="0.2">
      <c r="S12387" s="10"/>
    </row>
    <row r="12388" spans="19:19" x14ac:dyDescent="0.2">
      <c r="S12388" s="10"/>
    </row>
    <row r="12389" spans="19:19" x14ac:dyDescent="0.2">
      <c r="S12389" s="10"/>
    </row>
    <row r="12407" spans="19:19" x14ac:dyDescent="0.2">
      <c r="S12407" s="10"/>
    </row>
    <row r="12418" spans="19:19" x14ac:dyDescent="0.2">
      <c r="S12418" s="10"/>
    </row>
    <row r="12437" spans="19:19" x14ac:dyDescent="0.2">
      <c r="S12437" s="10"/>
    </row>
    <row r="12439" spans="19:19" x14ac:dyDescent="0.2">
      <c r="S12439" s="10"/>
    </row>
    <row r="12443" spans="19:19" x14ac:dyDescent="0.2">
      <c r="S12443" s="10"/>
    </row>
    <row r="12445" spans="19:19" x14ac:dyDescent="0.2">
      <c r="S12445" s="10"/>
    </row>
    <row r="12496" spans="19:19" x14ac:dyDescent="0.2">
      <c r="S12496" s="10"/>
    </row>
    <row r="12522" spans="19:19" x14ac:dyDescent="0.2">
      <c r="S12522" s="10"/>
    </row>
    <row r="12551" spans="19:19" x14ac:dyDescent="0.2">
      <c r="S12551" s="10"/>
    </row>
    <row r="12567" spans="19:19" x14ac:dyDescent="0.2">
      <c r="S12567" s="10"/>
    </row>
    <row r="12571" spans="19:19" x14ac:dyDescent="0.2">
      <c r="S12571" s="10"/>
    </row>
    <row r="12592" spans="19:19" x14ac:dyDescent="0.2">
      <c r="S12592" s="10"/>
    </row>
    <row r="12594" spans="19:19" x14ac:dyDescent="0.2">
      <c r="S12594" s="10"/>
    </row>
    <row r="12598" spans="19:19" x14ac:dyDescent="0.2">
      <c r="S12598" s="10"/>
    </row>
    <row r="12599" spans="19:19" x14ac:dyDescent="0.2">
      <c r="S12599" s="10"/>
    </row>
    <row r="12600" spans="19:19" x14ac:dyDescent="0.2">
      <c r="S12600" s="10"/>
    </row>
    <row r="12602" spans="19:19" x14ac:dyDescent="0.2">
      <c r="S12602" s="10"/>
    </row>
    <row r="12603" spans="19:19" x14ac:dyDescent="0.2">
      <c r="S12603" s="10"/>
    </row>
    <row r="12604" spans="19:19" x14ac:dyDescent="0.2">
      <c r="S12604" s="10"/>
    </row>
    <row r="12607" spans="19:19" x14ac:dyDescent="0.2">
      <c r="S12607" s="10"/>
    </row>
    <row r="12608" spans="19:19" x14ac:dyDescent="0.2">
      <c r="S12608" s="10"/>
    </row>
    <row r="12610" spans="19:19" x14ac:dyDescent="0.2">
      <c r="S12610" s="10"/>
    </row>
    <row r="12611" spans="19:19" x14ac:dyDescent="0.2">
      <c r="S12611" s="10"/>
    </row>
    <row r="12617" spans="19:19" x14ac:dyDescent="0.2">
      <c r="S12617" s="10"/>
    </row>
    <row r="12634" spans="19:19" x14ac:dyDescent="0.2">
      <c r="S12634" s="10"/>
    </row>
    <row r="12635" spans="19:19" x14ac:dyDescent="0.2">
      <c r="S12635" s="10"/>
    </row>
    <row r="12636" spans="19:19" x14ac:dyDescent="0.2">
      <c r="S12636" s="10"/>
    </row>
    <row r="12637" spans="19:19" x14ac:dyDescent="0.2">
      <c r="S12637" s="10"/>
    </row>
    <row r="12638" spans="19:19" x14ac:dyDescent="0.2">
      <c r="S12638" s="10"/>
    </row>
    <row r="12639" spans="19:19" x14ac:dyDescent="0.2">
      <c r="S12639" s="10"/>
    </row>
    <row r="12640" spans="19:19" x14ac:dyDescent="0.2">
      <c r="S12640" s="10"/>
    </row>
    <row r="12643" spans="19:19" x14ac:dyDescent="0.2">
      <c r="S12643" s="10"/>
    </row>
    <row r="12644" spans="19:19" x14ac:dyDescent="0.2">
      <c r="S12644" s="10"/>
    </row>
    <row r="12645" spans="19:19" x14ac:dyDescent="0.2">
      <c r="S12645" s="10"/>
    </row>
    <row r="12646" spans="19:19" x14ac:dyDescent="0.2">
      <c r="S12646" s="10"/>
    </row>
    <row r="12649" spans="19:19" x14ac:dyDescent="0.2">
      <c r="S12649" s="10"/>
    </row>
    <row r="12650" spans="19:19" x14ac:dyDescent="0.2">
      <c r="S12650" s="10"/>
    </row>
    <row r="12651" spans="19:19" x14ac:dyDescent="0.2">
      <c r="S12651" s="10"/>
    </row>
    <row r="12654" spans="19:19" x14ac:dyDescent="0.2">
      <c r="S12654" s="10"/>
    </row>
    <row r="12655" spans="19:19" x14ac:dyDescent="0.2">
      <c r="S12655" s="10"/>
    </row>
    <row r="12656" spans="19:19" x14ac:dyDescent="0.2">
      <c r="S12656" s="10"/>
    </row>
    <row r="12657" spans="19:19" x14ac:dyDescent="0.2">
      <c r="S12657" s="10"/>
    </row>
    <row r="12658" spans="19:19" x14ac:dyDescent="0.2">
      <c r="S12658" s="10"/>
    </row>
    <row r="12659" spans="19:19" x14ac:dyDescent="0.2">
      <c r="S12659" s="10"/>
    </row>
    <row r="12662" spans="19:19" x14ac:dyDescent="0.2">
      <c r="S12662" s="10"/>
    </row>
    <row r="12663" spans="19:19" x14ac:dyDescent="0.2">
      <c r="S12663" s="10"/>
    </row>
    <row r="12664" spans="19:19" x14ac:dyDescent="0.2">
      <c r="S12664" s="10"/>
    </row>
    <row r="12665" spans="19:19" x14ac:dyDescent="0.2">
      <c r="S12665" s="10"/>
    </row>
    <row r="12666" spans="19:19" x14ac:dyDescent="0.2">
      <c r="S12666" s="10"/>
    </row>
    <row r="12667" spans="19:19" x14ac:dyDescent="0.2">
      <c r="S12667" s="10"/>
    </row>
    <row r="12668" spans="19:19" x14ac:dyDescent="0.2">
      <c r="S12668" s="10"/>
    </row>
    <row r="12669" spans="19:19" x14ac:dyDescent="0.2">
      <c r="S12669" s="10"/>
    </row>
    <row r="12670" spans="19:19" x14ac:dyDescent="0.2">
      <c r="S12670" s="10"/>
    </row>
    <row r="12671" spans="19:19" x14ac:dyDescent="0.2">
      <c r="S12671" s="10"/>
    </row>
    <row r="12672" spans="19:19" x14ac:dyDescent="0.2">
      <c r="S12672" s="10"/>
    </row>
    <row r="12675" spans="19:19" x14ac:dyDescent="0.2">
      <c r="S12675" s="10"/>
    </row>
    <row r="12676" spans="19:19" x14ac:dyDescent="0.2">
      <c r="S12676" s="10"/>
    </row>
    <row r="12677" spans="19:19" x14ac:dyDescent="0.2">
      <c r="S12677" s="10"/>
    </row>
    <row r="12680" spans="19:19" x14ac:dyDescent="0.2">
      <c r="S12680" s="10"/>
    </row>
    <row r="12698" spans="19:19" x14ac:dyDescent="0.2">
      <c r="S12698" s="10"/>
    </row>
    <row r="12701" spans="19:19" x14ac:dyDescent="0.2">
      <c r="S12701" s="10"/>
    </row>
    <row r="12707" spans="19:19" x14ac:dyDescent="0.2">
      <c r="S12707" s="10"/>
    </row>
    <row r="12743" spans="19:19" x14ac:dyDescent="0.2">
      <c r="S12743" s="10"/>
    </row>
    <row r="12781" spans="19:19" x14ac:dyDescent="0.2">
      <c r="S12781" s="10"/>
    </row>
    <row r="12812" spans="19:19" x14ac:dyDescent="0.2">
      <c r="S12812" s="10"/>
    </row>
    <row r="12850" spans="19:19" x14ac:dyDescent="0.2">
      <c r="S12850" s="10"/>
    </row>
    <row r="12865" spans="19:19" x14ac:dyDescent="0.2">
      <c r="S12865" s="10"/>
    </row>
    <row r="12898" spans="19:19" x14ac:dyDescent="0.2">
      <c r="S12898" s="10"/>
    </row>
    <row r="12899" spans="19:19" x14ac:dyDescent="0.2">
      <c r="S12899" s="10"/>
    </row>
    <row r="12901" spans="19:19" x14ac:dyDescent="0.2">
      <c r="S12901" s="10"/>
    </row>
    <row r="12903" spans="19:19" x14ac:dyDescent="0.2">
      <c r="S12903" s="10"/>
    </row>
    <row r="12918" spans="19:19" x14ac:dyDescent="0.2">
      <c r="S12918" s="10"/>
    </row>
    <row r="12929" spans="19:19" x14ac:dyDescent="0.2">
      <c r="S12929" s="10"/>
    </row>
    <row r="12947" spans="19:19" x14ac:dyDescent="0.2">
      <c r="S12947" s="10"/>
    </row>
    <row r="13016" spans="19:19" x14ac:dyDescent="0.2">
      <c r="S13016" s="10"/>
    </row>
    <row r="13017" spans="19:19" x14ac:dyDescent="0.2">
      <c r="S13017" s="10"/>
    </row>
    <row r="13024" spans="19:19" x14ac:dyDescent="0.2">
      <c r="S13024" s="10"/>
    </row>
    <row r="13027" spans="19:19" x14ac:dyDescent="0.2">
      <c r="S13027" s="10"/>
    </row>
    <row r="13036" spans="19:19" x14ac:dyDescent="0.2">
      <c r="S13036" s="10"/>
    </row>
    <row r="13037" spans="19:19" x14ac:dyDescent="0.2">
      <c r="S13037" s="10"/>
    </row>
    <row r="13043" spans="19:19" x14ac:dyDescent="0.2">
      <c r="S13043" s="10"/>
    </row>
    <row r="13053" spans="19:19" x14ac:dyDescent="0.2">
      <c r="S13053" s="10"/>
    </row>
    <row r="13055" spans="19:19" x14ac:dyDescent="0.2">
      <c r="S13055" s="10"/>
    </row>
    <row r="13068" spans="19:19" x14ac:dyDescent="0.2">
      <c r="S13068" s="10"/>
    </row>
    <row r="13096" spans="19:19" x14ac:dyDescent="0.2">
      <c r="S13096" s="10"/>
    </row>
    <row r="13116" spans="19:19" x14ac:dyDescent="0.2">
      <c r="S13116" s="10"/>
    </row>
    <row r="13135" spans="19:19" x14ac:dyDescent="0.2">
      <c r="S13135" s="10"/>
    </row>
    <row r="13137" spans="19:19" x14ac:dyDescent="0.2">
      <c r="S13137" s="10"/>
    </row>
    <row r="13146" spans="19:19" x14ac:dyDescent="0.2">
      <c r="S13146" s="10"/>
    </row>
    <row r="13157" spans="19:19" x14ac:dyDescent="0.2">
      <c r="S13157" s="10"/>
    </row>
    <row r="13221" spans="19:19" x14ac:dyDescent="0.2">
      <c r="S13221" s="10"/>
    </row>
    <row r="13224" spans="19:19" x14ac:dyDescent="0.2">
      <c r="S13224" s="10"/>
    </row>
    <row r="13268" spans="19:19" x14ac:dyDescent="0.2">
      <c r="S13268" s="10"/>
    </row>
    <row r="13270" spans="19:19" x14ac:dyDescent="0.2">
      <c r="S13270" s="10"/>
    </row>
    <row r="13272" spans="19:19" x14ac:dyDescent="0.2">
      <c r="S13272" s="10"/>
    </row>
    <row r="13316" spans="19:19" x14ac:dyDescent="0.2">
      <c r="S13316" s="10"/>
    </row>
    <row r="13336" spans="19:19" x14ac:dyDescent="0.2">
      <c r="S13336" s="10"/>
    </row>
    <row r="13337" spans="19:19" x14ac:dyDescent="0.2">
      <c r="S13337" s="10"/>
    </row>
    <row r="13340" spans="19:19" x14ac:dyDescent="0.2">
      <c r="S13340" s="10"/>
    </row>
    <row r="13341" spans="19:19" x14ac:dyDescent="0.2">
      <c r="S13341" s="10"/>
    </row>
    <row r="13342" spans="19:19" x14ac:dyDescent="0.2">
      <c r="S13342" s="10"/>
    </row>
    <row r="13343" spans="19:19" x14ac:dyDescent="0.2">
      <c r="S13343" s="10"/>
    </row>
    <row r="13344" spans="19:19" x14ac:dyDescent="0.2">
      <c r="S13344" s="10"/>
    </row>
    <row r="13345" spans="19:19" x14ac:dyDescent="0.2">
      <c r="S13345" s="10"/>
    </row>
    <row r="13346" spans="19:19" x14ac:dyDescent="0.2">
      <c r="S13346" s="10"/>
    </row>
    <row r="13347" spans="19:19" x14ac:dyDescent="0.2">
      <c r="S13347" s="10"/>
    </row>
    <row r="13348" spans="19:19" x14ac:dyDescent="0.2">
      <c r="S13348" s="10"/>
    </row>
    <row r="13349" spans="19:19" x14ac:dyDescent="0.2">
      <c r="S13349" s="10"/>
    </row>
    <row r="13350" spans="19:19" x14ac:dyDescent="0.2">
      <c r="S13350" s="10"/>
    </row>
    <row r="13351" spans="19:19" x14ac:dyDescent="0.2">
      <c r="S13351" s="10"/>
    </row>
    <row r="13352" spans="19:19" x14ac:dyDescent="0.2">
      <c r="S13352" s="10"/>
    </row>
    <row r="13357" spans="19:19" x14ac:dyDescent="0.2">
      <c r="S13357" s="10"/>
    </row>
    <row r="13373" spans="19:19" x14ac:dyDescent="0.2">
      <c r="S13373" s="10"/>
    </row>
    <row r="13380" spans="19:19" x14ac:dyDescent="0.2">
      <c r="S13380" s="10"/>
    </row>
    <row r="13382" spans="19:19" x14ac:dyDescent="0.2">
      <c r="S13382" s="10"/>
    </row>
    <row r="13384" spans="19:19" x14ac:dyDescent="0.2">
      <c r="S13384" s="10"/>
    </row>
    <row r="13387" spans="19:19" x14ac:dyDescent="0.2">
      <c r="S13387" s="10"/>
    </row>
    <row r="13405" spans="19:19" x14ac:dyDescent="0.2">
      <c r="S13405" s="10"/>
    </row>
    <row r="13406" spans="19:19" x14ac:dyDescent="0.2">
      <c r="S13406" s="10"/>
    </row>
    <row r="13407" spans="19:19" x14ac:dyDescent="0.2">
      <c r="S13407" s="10"/>
    </row>
    <row r="13408" spans="19:19" x14ac:dyDescent="0.2">
      <c r="S13408" s="10"/>
    </row>
    <row r="13409" spans="19:19" x14ac:dyDescent="0.2">
      <c r="S13409" s="10"/>
    </row>
    <row r="13410" spans="19:19" x14ac:dyDescent="0.2">
      <c r="S13410" s="10"/>
    </row>
    <row r="13411" spans="19:19" x14ac:dyDescent="0.2">
      <c r="S13411" s="10"/>
    </row>
    <row r="13412" spans="19:19" x14ac:dyDescent="0.2">
      <c r="S13412" s="10"/>
    </row>
    <row r="13417" spans="19:19" x14ac:dyDescent="0.2">
      <c r="S13417" s="10"/>
    </row>
    <row r="13418" spans="19:19" x14ac:dyDescent="0.2">
      <c r="S13418" s="10"/>
    </row>
    <row r="13419" spans="19:19" x14ac:dyDescent="0.2">
      <c r="S13419" s="10"/>
    </row>
    <row r="13420" spans="19:19" x14ac:dyDescent="0.2">
      <c r="S13420" s="10"/>
    </row>
    <row r="13422" spans="19:19" x14ac:dyDescent="0.2">
      <c r="S13422" s="10"/>
    </row>
    <row r="13423" spans="19:19" x14ac:dyDescent="0.2">
      <c r="S13423" s="10"/>
    </row>
    <row r="13424" spans="19:19" x14ac:dyDescent="0.2">
      <c r="S13424" s="10"/>
    </row>
    <row r="13458" spans="19:19" x14ac:dyDescent="0.2">
      <c r="S13458" s="10"/>
    </row>
    <row r="13468" spans="19:19" x14ac:dyDescent="0.2">
      <c r="S13468" s="10"/>
    </row>
    <row r="13477" spans="19:19" x14ac:dyDescent="0.2">
      <c r="S13477" s="10"/>
    </row>
    <row r="13481" spans="19:19" x14ac:dyDescent="0.2">
      <c r="S13481" s="10"/>
    </row>
    <row r="13482" spans="19:19" x14ac:dyDescent="0.2">
      <c r="S13482" s="10"/>
    </row>
    <row r="13483" spans="19:19" x14ac:dyDescent="0.2">
      <c r="S13483" s="10"/>
    </row>
    <row r="13487" spans="19:19" x14ac:dyDescent="0.2">
      <c r="S13487" s="10"/>
    </row>
    <row r="13496" spans="19:19" x14ac:dyDescent="0.2">
      <c r="S13496" s="10"/>
    </row>
    <row r="13500" spans="19:19" x14ac:dyDescent="0.2">
      <c r="S13500" s="10"/>
    </row>
    <row r="13511" spans="19:19" x14ac:dyDescent="0.2">
      <c r="S13511" s="10"/>
    </row>
    <row r="13518" spans="19:19" x14ac:dyDescent="0.2">
      <c r="S13518" s="10"/>
    </row>
    <row r="13520" spans="19:19" x14ac:dyDescent="0.2">
      <c r="S13520" s="10"/>
    </row>
    <row r="13533" spans="19:19" x14ac:dyDescent="0.2">
      <c r="S13533" s="10"/>
    </row>
    <row r="13534" spans="19:19" x14ac:dyDescent="0.2">
      <c r="S13534" s="10"/>
    </row>
    <row r="13535" spans="19:19" x14ac:dyDescent="0.2">
      <c r="S13535" s="10"/>
    </row>
    <row r="13537" spans="19:19" x14ac:dyDescent="0.2">
      <c r="S13537" s="10"/>
    </row>
    <row r="13546" spans="19:19" x14ac:dyDescent="0.2">
      <c r="S13546" s="10"/>
    </row>
    <row r="13556" spans="19:19" x14ac:dyDescent="0.2">
      <c r="S13556" s="10"/>
    </row>
    <row r="13558" spans="19:19" x14ac:dyDescent="0.2">
      <c r="S13558" s="10"/>
    </row>
    <row r="13572" spans="19:19" x14ac:dyDescent="0.2">
      <c r="S13572" s="10"/>
    </row>
    <row r="13592" spans="19:19" x14ac:dyDescent="0.2">
      <c r="S13592" s="10"/>
    </row>
    <row r="13641" spans="19:19" x14ac:dyDescent="0.2">
      <c r="S13641" s="10"/>
    </row>
    <row r="13648" spans="19:19" x14ac:dyDescent="0.2">
      <c r="S13648" s="10"/>
    </row>
    <row r="13654" spans="19:19" x14ac:dyDescent="0.2">
      <c r="S13654" s="10"/>
    </row>
    <row r="13656" spans="19:19" x14ac:dyDescent="0.2">
      <c r="S13656" s="10"/>
    </row>
    <row r="13665" spans="19:19" x14ac:dyDescent="0.2">
      <c r="S13665" s="10"/>
    </row>
    <row r="13674" spans="19:19" x14ac:dyDescent="0.2">
      <c r="S13674" s="10"/>
    </row>
    <row r="13676" spans="19:19" x14ac:dyDescent="0.2">
      <c r="S13676" s="10"/>
    </row>
    <row r="13721" spans="19:19" x14ac:dyDescent="0.2">
      <c r="S13721" s="10"/>
    </row>
    <row r="13727" spans="19:19" x14ac:dyDescent="0.2">
      <c r="S13727" s="10"/>
    </row>
    <row r="13729" spans="19:19" x14ac:dyDescent="0.2">
      <c r="S13729" s="10"/>
    </row>
    <row r="13758" spans="19:19" x14ac:dyDescent="0.2">
      <c r="S13758" s="10"/>
    </row>
    <row r="13759" spans="19:19" x14ac:dyDescent="0.2">
      <c r="S13759" s="10"/>
    </row>
    <row r="13760" spans="19:19" x14ac:dyDescent="0.2">
      <c r="S13760" s="10"/>
    </row>
    <row r="13771" spans="19:19" x14ac:dyDescent="0.2">
      <c r="S13771" s="10"/>
    </row>
    <row r="13772" spans="19:19" x14ac:dyDescent="0.2">
      <c r="S13772" s="10"/>
    </row>
    <row r="13773" spans="19:19" x14ac:dyDescent="0.2">
      <c r="S13773" s="10"/>
    </row>
    <row r="13774" spans="19:19" x14ac:dyDescent="0.2">
      <c r="S13774" s="10"/>
    </row>
    <row r="13778" spans="19:19" x14ac:dyDescent="0.2">
      <c r="S13778" s="10"/>
    </row>
    <row r="13782" spans="19:19" x14ac:dyDescent="0.2">
      <c r="S13782" s="10"/>
    </row>
    <row r="13788" spans="19:19" x14ac:dyDescent="0.2">
      <c r="S13788" s="10"/>
    </row>
    <row r="13808" spans="19:19" x14ac:dyDescent="0.2">
      <c r="S13808" s="10"/>
    </row>
    <row r="13907" spans="19:19" x14ac:dyDescent="0.2">
      <c r="S13907" s="10"/>
    </row>
    <row r="13938" spans="19:19" x14ac:dyDescent="0.2">
      <c r="S13938" s="10"/>
    </row>
    <row r="13958" spans="19:19" x14ac:dyDescent="0.2">
      <c r="S13958" s="10"/>
    </row>
    <row r="13990" spans="19:19" x14ac:dyDescent="0.2">
      <c r="S13990" s="10"/>
    </row>
    <row r="14027" spans="19:19" x14ac:dyDescent="0.2">
      <c r="S14027" s="10"/>
    </row>
    <row r="14037" spans="19:19" x14ac:dyDescent="0.2">
      <c r="S14037" s="10"/>
    </row>
    <row r="14063" spans="19:19" x14ac:dyDescent="0.2">
      <c r="S14063" s="10"/>
    </row>
    <row r="14067" spans="19:19" x14ac:dyDescent="0.2">
      <c r="S14067" s="10"/>
    </row>
    <row r="14068" spans="19:19" x14ac:dyDescent="0.2">
      <c r="S14068" s="10"/>
    </row>
    <row r="14069" spans="19:19" x14ac:dyDescent="0.2">
      <c r="S14069" s="10"/>
    </row>
    <row r="14070" spans="19:19" x14ac:dyDescent="0.2">
      <c r="S14070" s="10"/>
    </row>
    <row r="14071" spans="19:19" x14ac:dyDescent="0.2">
      <c r="S14071" s="10"/>
    </row>
    <row r="14072" spans="19:19" x14ac:dyDescent="0.2">
      <c r="S14072" s="10"/>
    </row>
    <row r="14073" spans="19:19" x14ac:dyDescent="0.2">
      <c r="S14073" s="10"/>
    </row>
    <row r="14074" spans="19:19" x14ac:dyDescent="0.2">
      <c r="S14074" s="10"/>
    </row>
    <row r="14075" spans="19:19" x14ac:dyDescent="0.2">
      <c r="S14075" s="10"/>
    </row>
    <row r="14076" spans="19:19" x14ac:dyDescent="0.2">
      <c r="S14076" s="10"/>
    </row>
    <row r="14080" spans="19:19" x14ac:dyDescent="0.2">
      <c r="S14080" s="10"/>
    </row>
    <row r="14081" spans="19:19" x14ac:dyDescent="0.2">
      <c r="S14081" s="10"/>
    </row>
    <row r="14082" spans="19:19" x14ac:dyDescent="0.2">
      <c r="S14082" s="10"/>
    </row>
    <row r="14083" spans="19:19" x14ac:dyDescent="0.2">
      <c r="S14083" s="10"/>
    </row>
    <row r="14087" spans="19:19" x14ac:dyDescent="0.2">
      <c r="S14087" s="10"/>
    </row>
    <row r="14122" spans="19:19" x14ac:dyDescent="0.2">
      <c r="S14122" s="10"/>
    </row>
    <row r="14128" spans="19:19" x14ac:dyDescent="0.2">
      <c r="S14128" s="10"/>
    </row>
    <row r="14130" spans="19:19" x14ac:dyDescent="0.2">
      <c r="S14130" s="10"/>
    </row>
    <row r="14185" spans="19:19" x14ac:dyDescent="0.2">
      <c r="S14185" s="10"/>
    </row>
    <row r="14195" spans="19:19" x14ac:dyDescent="0.2">
      <c r="S14195" s="10"/>
    </row>
    <row r="14213" spans="19:19" x14ac:dyDescent="0.2">
      <c r="S14213" s="10"/>
    </row>
    <row r="14242" spans="19:19" x14ac:dyDescent="0.2">
      <c r="S14242" s="10"/>
    </row>
    <row r="14253" spans="19:19" x14ac:dyDescent="0.2">
      <c r="S14253" s="10"/>
    </row>
    <row r="14267" spans="19:19" x14ac:dyDescent="0.2">
      <c r="S14267" s="10"/>
    </row>
    <row r="14268" spans="19:19" x14ac:dyDescent="0.2">
      <c r="S14268" s="10"/>
    </row>
    <row r="14269" spans="19:19" x14ac:dyDescent="0.2">
      <c r="S14269" s="10"/>
    </row>
    <row r="14272" spans="19:19" x14ac:dyDescent="0.2">
      <c r="S14272" s="10"/>
    </row>
    <row r="14273" spans="19:19" x14ac:dyDescent="0.2">
      <c r="S14273" s="10"/>
    </row>
    <row r="14276" spans="19:19" x14ac:dyDescent="0.2">
      <c r="S14276" s="10"/>
    </row>
    <row r="14277" spans="19:19" x14ac:dyDescent="0.2">
      <c r="S14277" s="10"/>
    </row>
    <row r="14278" spans="19:19" x14ac:dyDescent="0.2">
      <c r="S14278" s="10"/>
    </row>
    <row r="14280" spans="19:19" x14ac:dyDescent="0.2">
      <c r="S14280" s="10"/>
    </row>
    <row r="14283" spans="19:19" x14ac:dyDescent="0.2">
      <c r="S14283" s="10"/>
    </row>
    <row r="14284" spans="19:19" x14ac:dyDescent="0.2">
      <c r="S14284" s="10"/>
    </row>
    <row r="14285" spans="19:19" x14ac:dyDescent="0.2">
      <c r="S14285" s="10"/>
    </row>
    <row r="14288" spans="19:19" x14ac:dyDescent="0.2">
      <c r="S14288" s="10"/>
    </row>
    <row r="14289" spans="19:19" x14ac:dyDescent="0.2">
      <c r="S14289" s="10"/>
    </row>
    <row r="14290" spans="19:19" x14ac:dyDescent="0.2">
      <c r="S14290" s="10"/>
    </row>
    <row r="14293" spans="19:19" x14ac:dyDescent="0.2">
      <c r="S14293" s="10"/>
    </row>
    <row r="14294" spans="19:19" x14ac:dyDescent="0.2">
      <c r="S14294" s="10"/>
    </row>
    <row r="14295" spans="19:19" x14ac:dyDescent="0.2">
      <c r="S14295" s="10"/>
    </row>
    <row r="14296" spans="19:19" x14ac:dyDescent="0.2">
      <c r="S14296" s="10"/>
    </row>
    <row r="14297" spans="19:19" x14ac:dyDescent="0.2">
      <c r="S14297" s="10"/>
    </row>
    <row r="14302" spans="19:19" x14ac:dyDescent="0.2">
      <c r="S14302" s="10"/>
    </row>
    <row r="14303" spans="19:19" x14ac:dyDescent="0.2">
      <c r="S14303" s="10"/>
    </row>
    <row r="14305" spans="19:19" x14ac:dyDescent="0.2">
      <c r="S14305" s="10"/>
    </row>
    <row r="14307" spans="19:19" x14ac:dyDescent="0.2">
      <c r="S14307" s="10"/>
    </row>
    <row r="14308" spans="19:19" x14ac:dyDescent="0.2">
      <c r="S14308" s="10"/>
    </row>
    <row r="14313" spans="19:19" x14ac:dyDescent="0.2">
      <c r="S14313" s="10"/>
    </row>
    <row r="14314" spans="19:19" x14ac:dyDescent="0.2">
      <c r="S14314" s="10"/>
    </row>
    <row r="14315" spans="19:19" x14ac:dyDescent="0.2">
      <c r="S14315" s="10"/>
    </row>
    <row r="14317" spans="19:19" x14ac:dyDescent="0.2">
      <c r="S14317" s="10"/>
    </row>
    <row r="14318" spans="19:19" x14ac:dyDescent="0.2">
      <c r="S14318" s="10"/>
    </row>
    <row r="14319" spans="19:19" x14ac:dyDescent="0.2">
      <c r="S14319" s="10"/>
    </row>
    <row r="14320" spans="19:19" x14ac:dyDescent="0.2">
      <c r="S14320" s="10"/>
    </row>
    <row r="14321" spans="19:19" x14ac:dyDescent="0.2">
      <c r="S14321" s="10"/>
    </row>
    <row r="14322" spans="19:19" x14ac:dyDescent="0.2">
      <c r="S14322" s="10"/>
    </row>
    <row r="14323" spans="19:19" x14ac:dyDescent="0.2">
      <c r="S14323" s="10"/>
    </row>
    <row r="14324" spans="19:19" x14ac:dyDescent="0.2">
      <c r="S14324" s="10"/>
    </row>
    <row r="14325" spans="19:19" x14ac:dyDescent="0.2">
      <c r="S14325" s="10"/>
    </row>
    <row r="14326" spans="19:19" x14ac:dyDescent="0.2">
      <c r="S14326" s="10"/>
    </row>
    <row r="14327" spans="19:19" x14ac:dyDescent="0.2">
      <c r="S14327" s="10"/>
    </row>
    <row r="14328" spans="19:19" x14ac:dyDescent="0.2">
      <c r="S14328" s="10"/>
    </row>
    <row r="14329" spans="19:19" x14ac:dyDescent="0.2">
      <c r="S14329" s="10"/>
    </row>
    <row r="14330" spans="19:19" x14ac:dyDescent="0.2">
      <c r="S14330" s="10"/>
    </row>
    <row r="14331" spans="19:19" x14ac:dyDescent="0.2">
      <c r="S14331" s="10"/>
    </row>
    <row r="14332" spans="19:19" x14ac:dyDescent="0.2">
      <c r="S14332" s="10"/>
    </row>
    <row r="14333" spans="19:19" x14ac:dyDescent="0.2">
      <c r="S14333" s="10"/>
    </row>
    <row r="14334" spans="19:19" x14ac:dyDescent="0.2">
      <c r="S14334" s="10"/>
    </row>
    <row r="14335" spans="19:19" x14ac:dyDescent="0.2">
      <c r="S14335" s="10"/>
    </row>
    <row r="14336" spans="19:19" x14ac:dyDescent="0.2">
      <c r="S14336" s="10"/>
    </row>
    <row r="14337" spans="19:19" x14ac:dyDescent="0.2">
      <c r="S14337" s="10"/>
    </row>
    <row r="14338" spans="19:19" x14ac:dyDescent="0.2">
      <c r="S14338" s="10"/>
    </row>
    <row r="14339" spans="19:19" x14ac:dyDescent="0.2">
      <c r="S14339" s="10"/>
    </row>
    <row r="14358" spans="19:19" x14ac:dyDescent="0.2">
      <c r="S14358" s="10"/>
    </row>
    <row r="14362" spans="19:19" x14ac:dyDescent="0.2">
      <c r="S14362" s="10"/>
    </row>
    <row r="14372" spans="19:19" x14ac:dyDescent="0.2">
      <c r="S14372" s="10"/>
    </row>
    <row r="14376" spans="19:19" x14ac:dyDescent="0.2">
      <c r="S14376" s="10"/>
    </row>
    <row r="14382" spans="19:19" x14ac:dyDescent="0.2">
      <c r="S14382" s="10"/>
    </row>
    <row r="14395" spans="19:19" x14ac:dyDescent="0.2">
      <c r="S14395" s="10"/>
    </row>
    <row r="14397" spans="19:19" x14ac:dyDescent="0.2">
      <c r="S14397" s="10"/>
    </row>
    <row r="14398" spans="19:19" x14ac:dyDescent="0.2">
      <c r="S14398" s="10"/>
    </row>
    <row r="14400" spans="19:19" x14ac:dyDescent="0.2">
      <c r="S14400" s="10"/>
    </row>
    <row r="14444" spans="19:19" x14ac:dyDescent="0.2">
      <c r="S14444" s="10"/>
    </row>
    <row r="14445" spans="19:19" x14ac:dyDescent="0.2">
      <c r="S14445" s="10"/>
    </row>
    <row r="14446" spans="19:19" x14ac:dyDescent="0.2">
      <c r="S14446" s="10"/>
    </row>
    <row r="14447" spans="19:19" x14ac:dyDescent="0.2">
      <c r="S14447" s="10"/>
    </row>
    <row r="14458" spans="19:19" x14ac:dyDescent="0.2">
      <c r="S14458" s="10"/>
    </row>
    <row r="14488" spans="19:19" x14ac:dyDescent="0.2">
      <c r="S14488" s="10"/>
    </row>
    <row r="14492" spans="19:19" x14ac:dyDescent="0.2">
      <c r="S14492" s="10"/>
    </row>
    <row r="14494" spans="19:19" x14ac:dyDescent="0.2">
      <c r="S14494" s="10"/>
    </row>
    <row r="14503" spans="19:19" x14ac:dyDescent="0.2">
      <c r="S14503" s="10"/>
    </row>
    <row r="14504" spans="19:19" x14ac:dyDescent="0.2">
      <c r="S14504" s="10"/>
    </row>
    <row r="14508" spans="19:19" x14ac:dyDescent="0.2">
      <c r="S14508" s="10"/>
    </row>
    <row r="14509" spans="19:19" x14ac:dyDescent="0.2">
      <c r="S14509" s="10"/>
    </row>
    <row r="14510" spans="19:19" x14ac:dyDescent="0.2">
      <c r="S14510" s="10"/>
    </row>
    <row r="14511" spans="19:19" x14ac:dyDescent="0.2">
      <c r="S14511" s="10"/>
    </row>
    <row r="14512" spans="19:19" x14ac:dyDescent="0.2">
      <c r="S14512" s="10"/>
    </row>
    <row r="14513" spans="19:19" x14ac:dyDescent="0.2">
      <c r="S14513" s="10"/>
    </row>
    <row r="14514" spans="19:19" x14ac:dyDescent="0.2">
      <c r="S14514" s="10"/>
    </row>
    <row r="14515" spans="19:19" x14ac:dyDescent="0.2">
      <c r="S14515" s="10"/>
    </row>
    <row r="14516" spans="19:19" x14ac:dyDescent="0.2">
      <c r="S14516" s="10"/>
    </row>
    <row r="14519" spans="19:19" x14ac:dyDescent="0.2">
      <c r="S14519" s="10"/>
    </row>
    <row r="14520" spans="19:19" x14ac:dyDescent="0.2">
      <c r="S14520" s="10"/>
    </row>
    <row r="14522" spans="19:19" x14ac:dyDescent="0.2">
      <c r="S14522" s="10"/>
    </row>
    <row r="14523" spans="19:19" x14ac:dyDescent="0.2">
      <c r="S14523" s="10"/>
    </row>
    <row r="14524" spans="19:19" x14ac:dyDescent="0.2">
      <c r="S14524" s="10"/>
    </row>
    <row r="14527" spans="19:19" x14ac:dyDescent="0.2">
      <c r="S14527" s="10"/>
    </row>
    <row r="14528" spans="19:19" x14ac:dyDescent="0.2">
      <c r="S14528" s="10"/>
    </row>
    <row r="14529" spans="19:19" x14ac:dyDescent="0.2">
      <c r="S14529" s="10"/>
    </row>
    <row r="14530" spans="19:19" x14ac:dyDescent="0.2">
      <c r="S14530" s="10"/>
    </row>
    <row r="14533" spans="19:19" x14ac:dyDescent="0.2">
      <c r="S14533" s="10"/>
    </row>
    <row r="14534" spans="19:19" x14ac:dyDescent="0.2">
      <c r="S14534" s="10"/>
    </row>
    <row r="14535" spans="19:19" x14ac:dyDescent="0.2">
      <c r="S14535" s="10"/>
    </row>
    <row r="14537" spans="19:19" x14ac:dyDescent="0.2">
      <c r="S14537" s="10"/>
    </row>
    <row r="14538" spans="19:19" x14ac:dyDescent="0.2">
      <c r="S14538" s="10"/>
    </row>
    <row r="14539" spans="19:19" x14ac:dyDescent="0.2">
      <c r="S14539" s="10"/>
    </row>
    <row r="14540" spans="19:19" x14ac:dyDescent="0.2">
      <c r="S14540" s="10"/>
    </row>
    <row r="14541" spans="19:19" x14ac:dyDescent="0.2">
      <c r="S14541" s="10"/>
    </row>
    <row r="14542" spans="19:19" x14ac:dyDescent="0.2">
      <c r="S14542" s="10"/>
    </row>
    <row r="14543" spans="19:19" x14ac:dyDescent="0.2">
      <c r="S14543" s="10"/>
    </row>
    <row r="14544" spans="19:19" x14ac:dyDescent="0.2">
      <c r="S14544" s="10"/>
    </row>
    <row r="14545" spans="19:19" x14ac:dyDescent="0.2">
      <c r="S14545" s="10"/>
    </row>
    <row r="14546" spans="19:19" x14ac:dyDescent="0.2">
      <c r="S14546" s="10"/>
    </row>
    <row r="14547" spans="19:19" x14ac:dyDescent="0.2">
      <c r="S14547" s="10"/>
    </row>
    <row r="14548" spans="19:19" x14ac:dyDescent="0.2">
      <c r="S14548" s="10"/>
    </row>
    <row r="14549" spans="19:19" x14ac:dyDescent="0.2">
      <c r="S14549" s="10"/>
    </row>
    <row r="14550" spans="19:19" x14ac:dyDescent="0.2">
      <c r="S14550" s="10"/>
    </row>
    <row r="14552" spans="19:19" x14ac:dyDescent="0.2">
      <c r="S14552" s="10"/>
    </row>
    <row r="14553" spans="19:19" x14ac:dyDescent="0.2">
      <c r="S14553" s="10"/>
    </row>
    <row r="14554" spans="19:19" x14ac:dyDescent="0.2">
      <c r="S14554" s="10"/>
    </row>
    <row r="14555" spans="19:19" x14ac:dyDescent="0.2">
      <c r="S14555" s="10"/>
    </row>
    <row r="14556" spans="19:19" x14ac:dyDescent="0.2">
      <c r="S14556" s="10"/>
    </row>
    <row r="14563" spans="19:19" x14ac:dyDescent="0.2">
      <c r="S14563" s="10"/>
    </row>
    <row r="14567" spans="19:19" x14ac:dyDescent="0.2">
      <c r="S14567" s="10"/>
    </row>
    <row r="14587" spans="19:19" x14ac:dyDescent="0.2">
      <c r="S14587" s="10"/>
    </row>
    <row r="14588" spans="19:19" x14ac:dyDescent="0.2">
      <c r="S14588" s="10"/>
    </row>
    <row r="14598" spans="19:19" x14ac:dyDescent="0.2">
      <c r="S14598" s="10"/>
    </row>
    <row r="14653" spans="19:19" x14ac:dyDescent="0.2">
      <c r="S14653" s="10"/>
    </row>
    <row r="14654" spans="19:19" x14ac:dyDescent="0.2">
      <c r="S14654" s="10"/>
    </row>
    <row r="14687" spans="19:19" x14ac:dyDescent="0.2">
      <c r="S14687" s="10"/>
    </row>
    <row r="14688" spans="19:19" x14ac:dyDescent="0.2">
      <c r="S14688" s="10"/>
    </row>
    <row r="14716" spans="19:19" x14ac:dyDescent="0.2">
      <c r="S14716" s="10"/>
    </row>
    <row r="14731" spans="19:19" x14ac:dyDescent="0.2">
      <c r="S14731" s="10"/>
    </row>
    <row r="14733" spans="19:19" x14ac:dyDescent="0.2">
      <c r="S14733" s="10"/>
    </row>
    <row r="14767" spans="19:19" x14ac:dyDescent="0.2">
      <c r="S14767" s="10"/>
    </row>
    <row r="14768" spans="19:19" x14ac:dyDescent="0.2">
      <c r="S14768" s="10"/>
    </row>
    <row r="14770" spans="19:19" x14ac:dyDescent="0.2">
      <c r="S14770" s="10"/>
    </row>
    <row r="14779" spans="19:19" x14ac:dyDescent="0.2">
      <c r="S14779" s="10"/>
    </row>
    <row r="14782" spans="19:19" x14ac:dyDescent="0.2">
      <c r="S14782" s="10"/>
    </row>
    <row r="14783" spans="19:19" x14ac:dyDescent="0.2">
      <c r="S14783" s="10"/>
    </row>
    <row r="14786" spans="19:19" x14ac:dyDescent="0.2">
      <c r="S14786" s="10"/>
    </row>
    <row r="14787" spans="19:19" x14ac:dyDescent="0.2">
      <c r="S14787" s="10"/>
    </row>
    <row r="14788" spans="19:19" x14ac:dyDescent="0.2">
      <c r="S14788" s="10"/>
    </row>
    <row r="14789" spans="19:19" x14ac:dyDescent="0.2">
      <c r="S14789" s="10"/>
    </row>
    <row r="14792" spans="19:19" x14ac:dyDescent="0.2">
      <c r="S14792" s="10"/>
    </row>
    <row r="14795" spans="19:19" x14ac:dyDescent="0.2">
      <c r="S14795" s="10"/>
    </row>
    <row r="14796" spans="19:19" x14ac:dyDescent="0.2">
      <c r="S14796" s="10"/>
    </row>
    <row r="14799" spans="19:19" x14ac:dyDescent="0.2">
      <c r="S14799" s="10"/>
    </row>
    <row r="14800" spans="19:19" x14ac:dyDescent="0.2">
      <c r="S14800" s="10"/>
    </row>
    <row r="14804" spans="19:19" x14ac:dyDescent="0.2">
      <c r="S14804" s="10"/>
    </row>
    <row r="14805" spans="19:19" x14ac:dyDescent="0.2">
      <c r="S14805" s="10"/>
    </row>
    <row r="14811" spans="19:19" x14ac:dyDescent="0.2">
      <c r="S14811" s="10"/>
    </row>
    <row r="14835" spans="19:19" x14ac:dyDescent="0.2">
      <c r="S14835" s="10"/>
    </row>
    <row r="14843" spans="19:19" x14ac:dyDescent="0.2">
      <c r="S14843" s="10"/>
    </row>
    <row r="14844" spans="19:19" x14ac:dyDescent="0.2">
      <c r="S14844" s="10"/>
    </row>
    <row r="14845" spans="19:19" x14ac:dyDescent="0.2">
      <c r="S14845" s="10"/>
    </row>
    <row r="14846" spans="19:19" x14ac:dyDescent="0.2">
      <c r="S14846" s="10"/>
    </row>
    <row r="14847" spans="19:19" x14ac:dyDescent="0.2">
      <c r="S14847" s="10"/>
    </row>
    <row r="14850" spans="19:19" x14ac:dyDescent="0.2">
      <c r="S14850" s="10"/>
    </row>
    <row r="14851" spans="19:19" x14ac:dyDescent="0.2">
      <c r="S14851" s="10"/>
    </row>
    <row r="14852" spans="19:19" x14ac:dyDescent="0.2">
      <c r="S14852" s="10"/>
    </row>
    <row r="14853" spans="19:19" x14ac:dyDescent="0.2">
      <c r="S14853" s="10"/>
    </row>
    <row r="14856" spans="19:19" x14ac:dyDescent="0.2">
      <c r="S14856" s="10"/>
    </row>
    <row r="14857" spans="19:19" x14ac:dyDescent="0.2">
      <c r="S14857" s="10"/>
    </row>
    <row r="14858" spans="19:19" x14ac:dyDescent="0.2">
      <c r="S14858" s="10"/>
    </row>
    <row r="14868" spans="19:19" x14ac:dyDescent="0.2">
      <c r="S14868" s="10"/>
    </row>
    <row r="14871" spans="19:19" x14ac:dyDescent="0.2">
      <c r="S14871" s="10"/>
    </row>
    <row r="14872" spans="19:19" x14ac:dyDescent="0.2">
      <c r="S14872" s="10"/>
    </row>
    <row r="14875" spans="19:19" x14ac:dyDescent="0.2">
      <c r="S14875" s="10"/>
    </row>
    <row r="14876" spans="19:19" x14ac:dyDescent="0.2">
      <c r="S14876" s="10"/>
    </row>
    <row r="14877" spans="19:19" x14ac:dyDescent="0.2">
      <c r="S14877" s="10"/>
    </row>
    <row r="14878" spans="19:19" x14ac:dyDescent="0.2">
      <c r="S14878" s="10"/>
    </row>
    <row r="14879" spans="19:19" x14ac:dyDescent="0.2">
      <c r="S14879" s="10"/>
    </row>
    <row r="14881" spans="19:19" x14ac:dyDescent="0.2">
      <c r="S14881" s="10"/>
    </row>
    <row r="14882" spans="19:19" x14ac:dyDescent="0.2">
      <c r="S14882" s="10"/>
    </row>
    <row r="14884" spans="19:19" x14ac:dyDescent="0.2">
      <c r="S14884" s="10"/>
    </row>
    <row r="14886" spans="19:19" x14ac:dyDescent="0.2">
      <c r="S14886" s="10"/>
    </row>
    <row r="14895" spans="19:19" x14ac:dyDescent="0.2">
      <c r="S14895" s="10"/>
    </row>
    <row r="14896" spans="19:19" x14ac:dyDescent="0.2">
      <c r="S14896" s="10"/>
    </row>
    <row r="14897" spans="19:19" x14ac:dyDescent="0.2">
      <c r="S14897" s="10"/>
    </row>
    <row r="14900" spans="19:19" x14ac:dyDescent="0.2">
      <c r="S14900" s="10"/>
    </row>
    <row r="14901" spans="19:19" x14ac:dyDescent="0.2">
      <c r="S14901" s="10"/>
    </row>
    <row r="14902" spans="19:19" x14ac:dyDescent="0.2">
      <c r="S14902" s="10"/>
    </row>
    <row r="14903" spans="19:19" x14ac:dyDescent="0.2">
      <c r="S14903" s="10"/>
    </row>
    <row r="14907" spans="19:19" x14ac:dyDescent="0.2">
      <c r="S14907" s="10"/>
    </row>
    <row r="14908" spans="19:19" x14ac:dyDescent="0.2">
      <c r="S14908" s="10"/>
    </row>
    <row r="14909" spans="19:19" x14ac:dyDescent="0.2">
      <c r="S14909" s="10"/>
    </row>
    <row r="14936" spans="19:19" x14ac:dyDescent="0.2">
      <c r="S14936" s="10"/>
    </row>
    <row r="14948" spans="19:19" x14ac:dyDescent="0.2">
      <c r="S14948" s="10"/>
    </row>
    <row r="14975" spans="19:19" x14ac:dyDescent="0.2">
      <c r="S14975" s="10"/>
    </row>
    <row r="14979" spans="19:19" x14ac:dyDescent="0.2">
      <c r="S14979" s="10"/>
    </row>
    <row r="15016" spans="19:19" x14ac:dyDescent="0.2">
      <c r="S15016" s="10"/>
    </row>
    <row r="15019" spans="19:19" x14ac:dyDescent="0.2">
      <c r="S15019" s="10"/>
    </row>
    <row r="15073" spans="19:19" x14ac:dyDescent="0.2">
      <c r="S15073" s="10"/>
    </row>
    <row r="15128" spans="19:19" x14ac:dyDescent="0.2">
      <c r="S15128" s="10"/>
    </row>
    <row r="15129" spans="19:19" x14ac:dyDescent="0.2">
      <c r="S15129" s="10"/>
    </row>
    <row r="15131" spans="19:19" x14ac:dyDescent="0.2">
      <c r="S15131" s="10"/>
    </row>
    <row r="15136" spans="19:19" x14ac:dyDescent="0.2">
      <c r="S15136" s="10"/>
    </row>
    <row r="15161" spans="19:19" x14ac:dyDescent="0.2">
      <c r="S15161" s="10"/>
    </row>
    <row r="15163" spans="19:19" x14ac:dyDescent="0.2">
      <c r="S15163" s="10"/>
    </row>
    <row r="15165" spans="19:19" x14ac:dyDescent="0.2">
      <c r="S15165" s="10"/>
    </row>
    <row r="15168" spans="19:19" x14ac:dyDescent="0.2">
      <c r="S15168" s="10"/>
    </row>
    <row r="15169" spans="19:19" x14ac:dyDescent="0.2">
      <c r="S15169" s="10"/>
    </row>
    <row r="15172" spans="19:19" x14ac:dyDescent="0.2">
      <c r="S15172" s="10"/>
    </row>
    <row r="15198" spans="19:19" x14ac:dyDescent="0.2">
      <c r="S15198" s="10"/>
    </row>
    <row r="15230" spans="19:19" x14ac:dyDescent="0.2">
      <c r="S15230" s="10"/>
    </row>
    <row r="15238" spans="19:19" x14ac:dyDescent="0.2">
      <c r="S15238" s="10"/>
    </row>
    <row r="15251" spans="19:19" x14ac:dyDescent="0.2">
      <c r="S15251" s="10"/>
    </row>
    <row r="15255" spans="19:19" x14ac:dyDescent="0.2">
      <c r="S15255" s="10"/>
    </row>
    <row r="15318" spans="19:19" x14ac:dyDescent="0.2">
      <c r="S15318" s="10"/>
    </row>
    <row r="15322" spans="19:19" x14ac:dyDescent="0.2">
      <c r="S15322" s="10"/>
    </row>
    <row r="15351" spans="19:19" x14ac:dyDescent="0.2">
      <c r="S15351" s="10"/>
    </row>
    <row r="15352" spans="19:19" x14ac:dyDescent="0.2">
      <c r="S15352" s="10"/>
    </row>
    <row r="15356" spans="19:19" x14ac:dyDescent="0.2">
      <c r="S15356" s="10"/>
    </row>
    <row r="15357" spans="19:19" x14ac:dyDescent="0.2">
      <c r="S15357" s="10"/>
    </row>
    <row r="15358" spans="19:19" x14ac:dyDescent="0.2">
      <c r="S15358" s="10"/>
    </row>
    <row r="15359" spans="19:19" x14ac:dyDescent="0.2">
      <c r="S15359" s="10"/>
    </row>
    <row r="15360" spans="19:19" x14ac:dyDescent="0.2">
      <c r="S15360" s="10"/>
    </row>
    <row r="15365" spans="19:19" x14ac:dyDescent="0.2">
      <c r="S15365" s="10"/>
    </row>
    <row r="15366" spans="19:19" x14ac:dyDescent="0.2">
      <c r="S15366" s="10"/>
    </row>
    <row r="15367" spans="19:19" x14ac:dyDescent="0.2">
      <c r="S15367" s="10"/>
    </row>
    <row r="15368" spans="19:19" x14ac:dyDescent="0.2">
      <c r="S15368" s="10"/>
    </row>
    <row r="15369" spans="19:19" x14ac:dyDescent="0.2">
      <c r="S15369" s="10"/>
    </row>
    <row r="15370" spans="19:19" x14ac:dyDescent="0.2">
      <c r="S15370" s="10"/>
    </row>
    <row r="15371" spans="19:19" x14ac:dyDescent="0.2">
      <c r="S15371" s="10"/>
    </row>
    <row r="15372" spans="19:19" x14ac:dyDescent="0.2">
      <c r="S15372" s="10"/>
    </row>
    <row r="15373" spans="19:19" x14ac:dyDescent="0.2">
      <c r="S15373" s="10"/>
    </row>
    <row r="15422" spans="19:19" x14ac:dyDescent="0.2">
      <c r="S15422" s="10"/>
    </row>
    <row r="15458" spans="19:19" x14ac:dyDescent="0.2">
      <c r="S15458" s="10"/>
    </row>
    <row r="15460" spans="19:19" x14ac:dyDescent="0.2">
      <c r="S15460" s="10"/>
    </row>
    <row r="15469" spans="19:19" x14ac:dyDescent="0.2">
      <c r="S15469" s="10"/>
    </row>
    <row r="15477" spans="19:19" x14ac:dyDescent="0.2">
      <c r="S15477" s="10"/>
    </row>
    <row r="15485" spans="19:19" x14ac:dyDescent="0.2">
      <c r="S15485" s="10"/>
    </row>
    <row r="15499" spans="19:19" x14ac:dyDescent="0.2">
      <c r="S15499" s="10"/>
    </row>
    <row r="15501" spans="19:19" x14ac:dyDescent="0.2">
      <c r="S15501" s="10"/>
    </row>
    <row r="15502" spans="19:19" x14ac:dyDescent="0.2">
      <c r="S15502" s="10"/>
    </row>
    <row r="15503" spans="19:19" x14ac:dyDescent="0.2">
      <c r="S15503" s="10"/>
    </row>
    <row r="15507" spans="19:19" x14ac:dyDescent="0.2">
      <c r="S15507" s="10"/>
    </row>
    <row r="15509" spans="19:19" x14ac:dyDescent="0.2">
      <c r="S15509" s="10"/>
    </row>
    <row r="15522" spans="19:19" x14ac:dyDescent="0.2">
      <c r="S15522" s="10"/>
    </row>
    <row r="15536" spans="19:19" x14ac:dyDescent="0.2">
      <c r="S15536" s="10"/>
    </row>
    <row r="15545" spans="19:19" x14ac:dyDescent="0.2">
      <c r="S15545" s="10"/>
    </row>
    <row r="15546" spans="19:19" x14ac:dyDescent="0.2">
      <c r="S15546" s="10"/>
    </row>
    <row r="15547" spans="19:19" x14ac:dyDescent="0.2">
      <c r="S15547" s="10"/>
    </row>
    <row r="15548" spans="19:19" x14ac:dyDescent="0.2">
      <c r="S15548" s="10"/>
    </row>
    <row r="15549" spans="19:19" x14ac:dyDescent="0.2">
      <c r="S15549" s="10"/>
    </row>
    <row r="15550" spans="19:19" x14ac:dyDescent="0.2">
      <c r="S15550" s="10"/>
    </row>
    <row r="15551" spans="19:19" x14ac:dyDescent="0.2">
      <c r="S15551" s="10"/>
    </row>
    <row r="15558" spans="19:19" x14ac:dyDescent="0.2">
      <c r="S15558" s="10"/>
    </row>
    <row r="15597" spans="19:19" x14ac:dyDescent="0.2">
      <c r="S15597" s="10"/>
    </row>
    <row r="15598" spans="19:19" x14ac:dyDescent="0.2">
      <c r="S15598" s="10"/>
    </row>
    <row r="15606" spans="19:19" x14ac:dyDescent="0.2">
      <c r="S15606" s="10"/>
    </row>
    <row r="15609" spans="19:19" x14ac:dyDescent="0.2">
      <c r="S15609" s="10"/>
    </row>
    <row r="15610" spans="19:19" x14ac:dyDescent="0.2">
      <c r="S15610" s="10"/>
    </row>
    <row r="15611" spans="19:19" x14ac:dyDescent="0.2">
      <c r="S15611" s="10"/>
    </row>
    <row r="15612" spans="19:19" x14ac:dyDescent="0.2">
      <c r="S15612" s="10"/>
    </row>
    <row r="15613" spans="19:19" x14ac:dyDescent="0.2">
      <c r="S15613" s="10"/>
    </row>
    <row r="15616" spans="19:19" x14ac:dyDescent="0.2">
      <c r="S15616" s="10"/>
    </row>
    <row r="15627" spans="19:19" x14ac:dyDescent="0.2">
      <c r="S15627" s="10"/>
    </row>
    <row r="15630" spans="19:19" x14ac:dyDescent="0.2">
      <c r="S15630" s="10"/>
    </row>
    <row r="15632" spans="19:19" x14ac:dyDescent="0.2">
      <c r="S15632" s="10"/>
    </row>
    <row r="15640" spans="19:19" x14ac:dyDescent="0.2">
      <c r="S15640" s="10"/>
    </row>
    <row r="15646" spans="19:19" x14ac:dyDescent="0.2">
      <c r="S15646" s="10"/>
    </row>
    <row r="15650" spans="19:19" x14ac:dyDescent="0.2">
      <c r="S15650" s="10"/>
    </row>
    <row r="15660" spans="19:19" x14ac:dyDescent="0.2">
      <c r="S15660" s="10"/>
    </row>
    <row r="15661" spans="19:19" x14ac:dyDescent="0.2">
      <c r="S15661" s="10"/>
    </row>
    <row r="15662" spans="19:19" x14ac:dyDescent="0.2">
      <c r="S15662" s="10"/>
    </row>
    <row r="15663" spans="19:19" x14ac:dyDescent="0.2">
      <c r="S15663" s="10"/>
    </row>
    <row r="15664" spans="19:19" x14ac:dyDescent="0.2">
      <c r="S15664" s="10"/>
    </row>
    <row r="15665" spans="19:19" x14ac:dyDescent="0.2">
      <c r="S15665" s="10"/>
    </row>
    <row r="15666" spans="19:19" x14ac:dyDescent="0.2">
      <c r="S15666" s="10"/>
    </row>
    <row r="15667" spans="19:19" x14ac:dyDescent="0.2">
      <c r="S15667" s="10"/>
    </row>
    <row r="15668" spans="19:19" x14ac:dyDescent="0.2">
      <c r="S15668" s="10"/>
    </row>
    <row r="15669" spans="19:19" x14ac:dyDescent="0.2">
      <c r="S15669" s="10"/>
    </row>
    <row r="15671" spans="19:19" x14ac:dyDescent="0.2">
      <c r="S15671" s="10"/>
    </row>
    <row r="15700" spans="19:19" x14ac:dyDescent="0.2">
      <c r="S15700" s="10"/>
    </row>
    <row r="15738" spans="19:19" x14ac:dyDescent="0.2">
      <c r="S15738" s="10"/>
    </row>
    <row r="15744" spans="19:19" x14ac:dyDescent="0.2">
      <c r="S15744" s="10"/>
    </row>
    <row r="15757" spans="19:19" x14ac:dyDescent="0.2">
      <c r="S15757" s="10"/>
    </row>
    <row r="15758" spans="19:19" x14ac:dyDescent="0.2">
      <c r="S15758" s="10"/>
    </row>
    <row r="15762" spans="19:19" x14ac:dyDescent="0.2">
      <c r="S15762" s="10"/>
    </row>
    <row r="15774" spans="19:19" x14ac:dyDescent="0.2">
      <c r="S15774" s="10"/>
    </row>
    <row r="15775" spans="19:19" x14ac:dyDescent="0.2">
      <c r="S15775" s="10"/>
    </row>
    <row r="15776" spans="19:19" x14ac:dyDescent="0.2">
      <c r="S15776" s="10"/>
    </row>
    <row r="15786" spans="19:19" x14ac:dyDescent="0.2">
      <c r="S15786" s="10"/>
    </row>
    <row r="15787" spans="19:19" x14ac:dyDescent="0.2">
      <c r="S15787" s="10"/>
    </row>
    <row r="15788" spans="19:19" x14ac:dyDescent="0.2">
      <c r="S15788" s="10"/>
    </row>
    <row r="15793" spans="19:19" x14ac:dyDescent="0.2">
      <c r="S15793" s="10"/>
    </row>
    <row r="15815" spans="19:19" x14ac:dyDescent="0.2">
      <c r="S15815" s="10"/>
    </row>
    <row r="15829" spans="19:19" x14ac:dyDescent="0.2">
      <c r="S15829" s="10"/>
    </row>
    <row r="15840" spans="19:19" x14ac:dyDescent="0.2">
      <c r="S15840" s="10"/>
    </row>
    <row r="15842" spans="19:19" x14ac:dyDescent="0.2">
      <c r="S15842" s="10"/>
    </row>
    <row r="15844" spans="19:19" x14ac:dyDescent="0.2">
      <c r="S15844" s="10"/>
    </row>
    <row r="15859" spans="19:19" x14ac:dyDescent="0.2">
      <c r="S15859" s="10"/>
    </row>
    <row r="15863" spans="19:19" x14ac:dyDescent="0.2">
      <c r="S15863" s="10"/>
    </row>
    <row r="15867" spans="19:19" x14ac:dyDescent="0.2">
      <c r="S15867" s="10"/>
    </row>
    <row r="15882" spans="19:19" x14ac:dyDescent="0.2">
      <c r="S15882" s="10"/>
    </row>
    <row r="15896" spans="19:19" x14ac:dyDescent="0.2">
      <c r="S15896" s="10"/>
    </row>
    <row r="15897" spans="19:19" x14ac:dyDescent="0.2">
      <c r="S15897" s="10"/>
    </row>
    <row r="15898" spans="19:19" x14ac:dyDescent="0.2">
      <c r="S15898" s="10"/>
    </row>
    <row r="15899" spans="19:19" x14ac:dyDescent="0.2">
      <c r="S15899" s="10"/>
    </row>
    <row r="15900" spans="19:19" x14ac:dyDescent="0.2">
      <c r="S15900" s="10"/>
    </row>
    <row r="15901" spans="19:19" x14ac:dyDescent="0.2">
      <c r="S15901" s="10"/>
    </row>
    <row r="15902" spans="19:19" x14ac:dyDescent="0.2">
      <c r="S15902" s="10"/>
    </row>
    <row r="15903" spans="19:19" x14ac:dyDescent="0.2">
      <c r="S15903" s="10"/>
    </row>
    <row r="15906" spans="19:19" x14ac:dyDescent="0.2">
      <c r="S15906" s="10"/>
    </row>
    <row r="15907" spans="19:19" x14ac:dyDescent="0.2">
      <c r="S15907" s="10"/>
    </row>
    <row r="15910" spans="19:19" x14ac:dyDescent="0.2">
      <c r="S15910" s="10"/>
    </row>
    <row r="15911" spans="19:19" x14ac:dyDescent="0.2">
      <c r="S15911" s="10"/>
    </row>
    <row r="15914" spans="19:19" x14ac:dyDescent="0.2">
      <c r="S15914" s="10"/>
    </row>
    <row r="15915" spans="19:19" x14ac:dyDescent="0.2">
      <c r="S15915" s="10"/>
    </row>
    <row r="15916" spans="19:19" x14ac:dyDescent="0.2">
      <c r="S15916" s="10"/>
    </row>
    <row r="15917" spans="19:19" x14ac:dyDescent="0.2">
      <c r="S15917" s="10"/>
    </row>
    <row r="15918" spans="19:19" x14ac:dyDescent="0.2">
      <c r="S15918" s="10"/>
    </row>
    <row r="15919" spans="19:19" x14ac:dyDescent="0.2">
      <c r="S15919" s="10"/>
    </row>
    <row r="15920" spans="19:19" x14ac:dyDescent="0.2">
      <c r="S15920" s="10"/>
    </row>
    <row r="15921" spans="19:19" x14ac:dyDescent="0.2">
      <c r="S15921" s="10"/>
    </row>
    <row r="15922" spans="19:19" x14ac:dyDescent="0.2">
      <c r="S15922" s="10"/>
    </row>
    <row r="15923" spans="19:19" x14ac:dyDescent="0.2">
      <c r="S15923" s="10"/>
    </row>
    <row r="15926" spans="19:19" x14ac:dyDescent="0.2">
      <c r="S15926" s="10"/>
    </row>
    <row r="15927" spans="19:19" x14ac:dyDescent="0.2">
      <c r="S15927" s="10"/>
    </row>
    <row r="15929" spans="19:19" x14ac:dyDescent="0.2">
      <c r="S15929" s="10"/>
    </row>
    <row r="15937" spans="19:19" x14ac:dyDescent="0.2">
      <c r="S15937" s="10"/>
    </row>
    <row r="15959" spans="19:19" x14ac:dyDescent="0.2">
      <c r="S15959" s="10"/>
    </row>
    <row r="16000" spans="19:19" x14ac:dyDescent="0.2">
      <c r="S16000" s="10"/>
    </row>
    <row r="16008" spans="19:19" x14ac:dyDescent="0.2">
      <c r="S16008" s="10"/>
    </row>
    <row r="16015" spans="19:19" x14ac:dyDescent="0.2">
      <c r="S16015" s="10"/>
    </row>
    <row r="16035" spans="19:19" x14ac:dyDescent="0.2">
      <c r="S16035" s="10"/>
    </row>
    <row r="16036" spans="19:19" x14ac:dyDescent="0.2">
      <c r="S16036" s="10"/>
    </row>
    <row r="16037" spans="19:19" x14ac:dyDescent="0.2">
      <c r="S16037" s="10"/>
    </row>
    <row r="16040" spans="19:19" x14ac:dyDescent="0.2">
      <c r="S16040" s="10"/>
    </row>
    <row r="16046" spans="19:19" x14ac:dyDescent="0.2">
      <c r="S16046" s="10"/>
    </row>
    <row r="16054" spans="19:19" x14ac:dyDescent="0.2">
      <c r="S16054" s="10"/>
    </row>
    <row r="16175" spans="19:19" x14ac:dyDescent="0.2">
      <c r="S16175" s="10"/>
    </row>
    <row r="16185" spans="19:19" x14ac:dyDescent="0.2">
      <c r="S16185" s="10"/>
    </row>
    <row r="16200" spans="19:19" x14ac:dyDescent="0.2">
      <c r="S16200" s="10"/>
    </row>
    <row r="16201" spans="19:19" x14ac:dyDescent="0.2">
      <c r="S16201" s="10"/>
    </row>
    <row r="16205" spans="19:19" x14ac:dyDescent="0.2">
      <c r="S16205" s="10"/>
    </row>
    <row r="16207" spans="19:19" x14ac:dyDescent="0.2">
      <c r="S16207" s="10"/>
    </row>
    <row r="16217" spans="19:19" x14ac:dyDescent="0.2">
      <c r="S16217" s="10"/>
    </row>
    <row r="16229" spans="19:19" x14ac:dyDescent="0.2">
      <c r="S16229" s="10"/>
    </row>
    <row r="16231" spans="19:19" x14ac:dyDescent="0.2">
      <c r="S16231" s="10"/>
    </row>
    <row r="16267" spans="19:19" x14ac:dyDescent="0.2">
      <c r="S16267" s="10"/>
    </row>
    <row r="16270" spans="19:19" x14ac:dyDescent="0.2">
      <c r="S16270" s="10"/>
    </row>
    <row r="16300" spans="19:19" x14ac:dyDescent="0.2">
      <c r="S16300" s="10"/>
    </row>
    <row r="16307" spans="19:19" x14ac:dyDescent="0.2">
      <c r="S16307" s="10"/>
    </row>
    <row r="16312" spans="19:19" x14ac:dyDescent="0.2">
      <c r="S16312" s="10"/>
    </row>
    <row r="16326" spans="19:19" x14ac:dyDescent="0.2">
      <c r="S16326" s="10"/>
    </row>
    <row r="16330" spans="19:19" x14ac:dyDescent="0.2">
      <c r="S16330" s="10"/>
    </row>
    <row r="16331" spans="19:19" x14ac:dyDescent="0.2">
      <c r="S16331" s="10"/>
    </row>
    <row r="16343" spans="19:19" x14ac:dyDescent="0.2">
      <c r="S16343" s="10"/>
    </row>
    <row r="16356" spans="19:19" x14ac:dyDescent="0.2">
      <c r="S16356" s="10"/>
    </row>
    <row r="16366" spans="19:19" x14ac:dyDescent="0.2">
      <c r="S16366" s="10"/>
    </row>
    <row r="16367" spans="19:19" x14ac:dyDescent="0.2">
      <c r="S16367" s="10"/>
    </row>
    <row r="16368" spans="19:19" x14ac:dyDescent="0.2">
      <c r="S16368" s="10"/>
    </row>
    <row r="16369" spans="19:19" x14ac:dyDescent="0.2">
      <c r="S16369" s="10"/>
    </row>
    <row r="16372" spans="19:19" x14ac:dyDescent="0.2">
      <c r="S16372" s="10"/>
    </row>
    <row r="16373" spans="19:19" x14ac:dyDescent="0.2">
      <c r="S16373" s="10"/>
    </row>
    <row r="16374" spans="19:19" x14ac:dyDescent="0.2">
      <c r="S16374" s="10"/>
    </row>
    <row r="16375" spans="19:19" x14ac:dyDescent="0.2">
      <c r="S16375" s="10"/>
    </row>
    <row r="16376" spans="19:19" x14ac:dyDescent="0.2">
      <c r="S16376" s="10"/>
    </row>
    <row r="16377" spans="19:19" x14ac:dyDescent="0.2">
      <c r="S16377" s="10"/>
    </row>
    <row r="16391" spans="19:19" x14ac:dyDescent="0.2">
      <c r="S16391" s="10"/>
    </row>
    <row r="16394" spans="19:19" x14ac:dyDescent="0.2">
      <c r="S16394" s="10"/>
    </row>
    <row r="16419" spans="19:19" x14ac:dyDescent="0.2">
      <c r="S16419" s="10"/>
    </row>
    <row r="16461" spans="19:19" x14ac:dyDescent="0.2">
      <c r="S16461" s="10"/>
    </row>
    <row r="16483" spans="19:19" x14ac:dyDescent="0.2">
      <c r="S16483" s="10"/>
    </row>
    <row r="16492" spans="19:19" x14ac:dyDescent="0.2">
      <c r="S16492" s="10"/>
    </row>
    <row r="16509" spans="19:19" x14ac:dyDescent="0.2">
      <c r="S16509" s="10"/>
    </row>
    <row r="16527" spans="19:19" x14ac:dyDescent="0.2">
      <c r="S16527" s="10"/>
    </row>
    <row r="16562" spans="19:19" x14ac:dyDescent="0.2">
      <c r="S16562" s="10"/>
    </row>
    <row r="16593" spans="19:19" x14ac:dyDescent="0.2">
      <c r="S16593" s="10"/>
    </row>
    <row r="16605" spans="19:19" x14ac:dyDescent="0.2">
      <c r="S16605" s="10"/>
    </row>
    <row r="16636" spans="19:19" x14ac:dyDescent="0.2">
      <c r="S16636" s="10"/>
    </row>
    <row r="16658" spans="19:19" x14ac:dyDescent="0.2">
      <c r="S16658" s="10"/>
    </row>
    <row r="16671" spans="19:19" x14ac:dyDescent="0.2">
      <c r="S16671" s="10"/>
    </row>
    <row r="16686" spans="19:19" x14ac:dyDescent="0.2">
      <c r="S16686" s="10"/>
    </row>
    <row r="16690" spans="19:19" x14ac:dyDescent="0.2">
      <c r="S16690" s="10"/>
    </row>
    <row r="16691" spans="19:19" x14ac:dyDescent="0.2">
      <c r="S16691" s="10"/>
    </row>
    <row r="16692" spans="19:19" x14ac:dyDescent="0.2">
      <c r="S16692" s="10"/>
    </row>
    <row r="16693" spans="19:19" x14ac:dyDescent="0.2">
      <c r="S16693" s="10"/>
    </row>
    <row r="16694" spans="19:19" x14ac:dyDescent="0.2">
      <c r="S16694" s="10"/>
    </row>
    <row r="16695" spans="19:19" x14ac:dyDescent="0.2">
      <c r="S16695" s="10"/>
    </row>
    <row r="16703" spans="19:19" x14ac:dyDescent="0.2">
      <c r="S16703" s="10"/>
    </row>
    <row r="16709" spans="19:19" x14ac:dyDescent="0.2">
      <c r="S16709" s="10"/>
    </row>
    <row r="16713" spans="19:19" x14ac:dyDescent="0.2">
      <c r="S16713" s="10"/>
    </row>
    <row r="16726" spans="19:19" x14ac:dyDescent="0.2">
      <c r="S16726" s="10"/>
    </row>
    <row r="16729" spans="19:19" x14ac:dyDescent="0.2">
      <c r="S16729" s="10"/>
    </row>
    <row r="16805" spans="19:19" x14ac:dyDescent="0.2">
      <c r="S16805" s="10"/>
    </row>
    <row r="16806" spans="19:19" x14ac:dyDescent="0.2">
      <c r="S16806" s="10"/>
    </row>
    <row r="16807" spans="19:19" x14ac:dyDescent="0.2">
      <c r="S16807" s="10"/>
    </row>
    <row r="16808" spans="19:19" x14ac:dyDescent="0.2">
      <c r="S16808" s="10"/>
    </row>
    <row r="16809" spans="19:19" x14ac:dyDescent="0.2">
      <c r="S16809" s="10"/>
    </row>
    <row r="16810" spans="19:19" x14ac:dyDescent="0.2">
      <c r="S16810" s="10"/>
    </row>
    <row r="16811" spans="19:19" x14ac:dyDescent="0.2">
      <c r="S16811" s="10"/>
    </row>
    <row r="16812" spans="19:19" x14ac:dyDescent="0.2">
      <c r="S16812" s="10"/>
    </row>
    <row r="16856" spans="19:19" x14ac:dyDescent="0.2">
      <c r="S16856" s="10"/>
    </row>
    <row r="16863" spans="19:19" x14ac:dyDescent="0.2">
      <c r="S16863" s="10"/>
    </row>
    <row r="16897" spans="19:19" x14ac:dyDescent="0.2">
      <c r="S16897" s="10"/>
    </row>
    <row r="16900" spans="19:19" x14ac:dyDescent="0.2">
      <c r="S16900" s="10"/>
    </row>
    <row r="16907" spans="19:19" x14ac:dyDescent="0.2">
      <c r="S16907" s="10"/>
    </row>
    <row r="16908" spans="19:19" x14ac:dyDescent="0.2">
      <c r="S16908" s="10"/>
    </row>
    <row r="16909" spans="19:19" x14ac:dyDescent="0.2">
      <c r="S16909" s="10"/>
    </row>
    <row r="16910" spans="19:19" x14ac:dyDescent="0.2">
      <c r="S16910" s="10"/>
    </row>
    <row r="16911" spans="19:19" x14ac:dyDescent="0.2">
      <c r="S16911" s="10"/>
    </row>
    <row r="16912" spans="19:19" x14ac:dyDescent="0.2">
      <c r="S16912" s="10"/>
    </row>
    <row r="16913" spans="19:19" x14ac:dyDescent="0.2">
      <c r="S16913" s="10"/>
    </row>
    <row r="16914" spans="19:19" x14ac:dyDescent="0.2">
      <c r="S16914" s="10"/>
    </row>
    <row r="16915" spans="19:19" x14ac:dyDescent="0.2">
      <c r="S16915" s="10"/>
    </row>
    <row r="16916" spans="19:19" x14ac:dyDescent="0.2">
      <c r="S16916" s="10"/>
    </row>
    <row r="16917" spans="19:19" x14ac:dyDescent="0.2">
      <c r="S16917" s="10"/>
    </row>
    <row r="16918" spans="19:19" x14ac:dyDescent="0.2">
      <c r="S16918" s="10"/>
    </row>
    <row r="16919" spans="19:19" x14ac:dyDescent="0.2">
      <c r="S16919" s="10"/>
    </row>
    <row r="16920" spans="19:19" x14ac:dyDescent="0.2">
      <c r="S16920" s="10"/>
    </row>
    <row r="16921" spans="19:19" x14ac:dyDescent="0.2">
      <c r="S16921" s="10"/>
    </row>
    <row r="16922" spans="19:19" x14ac:dyDescent="0.2">
      <c r="S16922" s="10"/>
    </row>
    <row r="16923" spans="19:19" x14ac:dyDescent="0.2">
      <c r="S16923" s="10"/>
    </row>
    <row r="16924" spans="19:19" x14ac:dyDescent="0.2">
      <c r="S16924" s="10"/>
    </row>
    <row r="16925" spans="19:19" x14ac:dyDescent="0.2">
      <c r="S16925" s="10"/>
    </row>
    <row r="16926" spans="19:19" x14ac:dyDescent="0.2">
      <c r="S16926" s="10"/>
    </row>
    <row r="16927" spans="19:19" x14ac:dyDescent="0.2">
      <c r="S16927" s="10"/>
    </row>
    <row r="16928" spans="19:19" x14ac:dyDescent="0.2">
      <c r="S16928" s="10"/>
    </row>
    <row r="16929" spans="19:19" x14ac:dyDescent="0.2">
      <c r="S16929" s="10"/>
    </row>
    <row r="16930" spans="19:19" x14ac:dyDescent="0.2">
      <c r="S16930" s="10"/>
    </row>
    <row r="16931" spans="19:19" x14ac:dyDescent="0.2">
      <c r="S16931" s="10"/>
    </row>
    <row r="16932" spans="19:19" x14ac:dyDescent="0.2">
      <c r="S16932" s="10"/>
    </row>
    <row r="16933" spans="19:19" x14ac:dyDescent="0.2">
      <c r="S16933" s="10"/>
    </row>
    <row r="16934" spans="19:19" x14ac:dyDescent="0.2">
      <c r="S16934" s="10"/>
    </row>
    <row r="16935" spans="19:19" x14ac:dyDescent="0.2">
      <c r="S16935" s="10"/>
    </row>
    <row r="16936" spans="19:19" x14ac:dyDescent="0.2">
      <c r="S16936" s="10"/>
    </row>
    <row r="16937" spans="19:19" x14ac:dyDescent="0.2">
      <c r="S16937" s="10"/>
    </row>
    <row r="16938" spans="19:19" x14ac:dyDescent="0.2">
      <c r="S16938" s="10"/>
    </row>
    <row r="16939" spans="19:19" x14ac:dyDescent="0.2">
      <c r="S16939" s="10"/>
    </row>
    <row r="16940" spans="19:19" x14ac:dyDescent="0.2">
      <c r="S16940" s="10"/>
    </row>
    <row r="16941" spans="19:19" x14ac:dyDescent="0.2">
      <c r="S16941" s="10"/>
    </row>
    <row r="16942" spans="19:19" x14ac:dyDescent="0.2">
      <c r="S16942" s="10"/>
    </row>
    <row r="16943" spans="19:19" x14ac:dyDescent="0.2">
      <c r="S16943" s="10"/>
    </row>
    <row r="16944" spans="19:19" x14ac:dyDescent="0.2">
      <c r="S16944" s="10"/>
    </row>
    <row r="16945" spans="19:19" x14ac:dyDescent="0.2">
      <c r="S16945" s="10"/>
    </row>
    <row r="16946" spans="19:19" x14ac:dyDescent="0.2">
      <c r="S16946" s="10"/>
    </row>
    <row r="16947" spans="19:19" x14ac:dyDescent="0.2">
      <c r="S16947" s="10"/>
    </row>
    <row r="16948" spans="19:19" x14ac:dyDescent="0.2">
      <c r="S16948" s="10"/>
    </row>
    <row r="16949" spans="19:19" x14ac:dyDescent="0.2">
      <c r="S16949" s="10"/>
    </row>
    <row r="16983" spans="19:19" x14ac:dyDescent="0.2">
      <c r="S16983" s="10"/>
    </row>
    <row r="17084" spans="19:19" x14ac:dyDescent="0.2">
      <c r="S17084" s="10"/>
    </row>
    <row r="17089" spans="19:19" x14ac:dyDescent="0.2">
      <c r="S17089" s="10"/>
    </row>
    <row r="17104" spans="19:19" x14ac:dyDescent="0.2">
      <c r="S17104" s="10"/>
    </row>
    <row r="17106" spans="19:19" x14ac:dyDescent="0.2">
      <c r="S17106" s="10"/>
    </row>
    <row r="17115" spans="19:19" x14ac:dyDescent="0.2">
      <c r="S17115" s="10"/>
    </row>
    <row r="17185" spans="19:19" x14ac:dyDescent="0.2">
      <c r="S17185" s="10"/>
    </row>
    <row r="17198" spans="19:19" x14ac:dyDescent="0.2">
      <c r="S17198" s="10"/>
    </row>
    <row r="17239" spans="19:19" x14ac:dyDescent="0.2">
      <c r="S17239" s="10"/>
    </row>
    <row r="17351" spans="19:19" x14ac:dyDescent="0.2">
      <c r="S17351" s="10"/>
    </row>
    <row r="17353" spans="19:19" x14ac:dyDescent="0.2">
      <c r="S17353" s="10"/>
    </row>
    <row r="17455" spans="19:19" x14ac:dyDescent="0.2">
      <c r="S17455" s="10"/>
    </row>
    <row r="17484" spans="19:19" x14ac:dyDescent="0.2">
      <c r="S17484" s="10"/>
    </row>
    <row r="17516" spans="19:19" x14ac:dyDescent="0.2">
      <c r="S17516" s="10"/>
    </row>
    <row r="17520" spans="19:19" x14ac:dyDescent="0.2">
      <c r="S17520" s="10"/>
    </row>
    <row r="17521" spans="19:19" x14ac:dyDescent="0.2">
      <c r="S17521" s="10"/>
    </row>
    <row r="17522" spans="19:19" x14ac:dyDescent="0.2">
      <c r="S17522" s="10"/>
    </row>
    <row r="17528" spans="19:19" x14ac:dyDescent="0.2">
      <c r="S17528" s="10"/>
    </row>
    <row r="17529" spans="19:19" x14ac:dyDescent="0.2">
      <c r="S17529" s="10"/>
    </row>
    <row r="17539" spans="19:19" x14ac:dyDescent="0.2">
      <c r="S17539" s="10"/>
    </row>
    <row r="17551" spans="19:19" x14ac:dyDescent="0.2">
      <c r="S17551" s="10"/>
    </row>
    <row r="17563" spans="19:19" x14ac:dyDescent="0.2">
      <c r="S17563" s="10"/>
    </row>
    <row r="17564" spans="19:19" x14ac:dyDescent="0.2">
      <c r="S17564" s="10"/>
    </row>
    <row r="17576" spans="19:19" x14ac:dyDescent="0.2">
      <c r="S17576" s="10"/>
    </row>
    <row r="17675" spans="19:19" x14ac:dyDescent="0.2">
      <c r="S17675" s="10"/>
    </row>
    <row r="17676" spans="19:19" x14ac:dyDescent="0.2">
      <c r="S17676" s="10"/>
    </row>
    <row r="17677" spans="19:19" x14ac:dyDescent="0.2">
      <c r="S17677" s="10"/>
    </row>
    <row r="17678" spans="19:19" x14ac:dyDescent="0.2">
      <c r="S17678" s="10"/>
    </row>
    <row r="17679" spans="19:19" x14ac:dyDescent="0.2">
      <c r="S17679" s="10"/>
    </row>
    <row r="17680" spans="19:19" x14ac:dyDescent="0.2">
      <c r="S17680" s="10"/>
    </row>
    <row r="17681" spans="19:19" x14ac:dyDescent="0.2">
      <c r="S17681" s="10"/>
    </row>
    <row r="17682" spans="19:19" x14ac:dyDescent="0.2">
      <c r="S17682" s="10"/>
    </row>
    <row r="17683" spans="19:19" x14ac:dyDescent="0.2">
      <c r="S17683" s="10"/>
    </row>
    <row r="17684" spans="19:19" x14ac:dyDescent="0.2">
      <c r="S17684" s="10"/>
    </row>
    <row r="17706" spans="19:19" x14ac:dyDescent="0.2">
      <c r="S17706" s="10"/>
    </row>
    <row r="17746" spans="19:19" x14ac:dyDescent="0.2">
      <c r="S17746" s="10"/>
    </row>
    <row r="17804" spans="19:19" x14ac:dyDescent="0.2">
      <c r="S17804" s="10"/>
    </row>
    <row r="17807" spans="19:19" x14ac:dyDescent="0.2">
      <c r="S17807" s="10"/>
    </row>
    <row r="17808" spans="19:19" x14ac:dyDescent="0.2">
      <c r="S17808" s="10"/>
    </row>
    <row r="17811" spans="19:19" x14ac:dyDescent="0.2">
      <c r="S17811" s="10"/>
    </row>
    <row r="17812" spans="19:19" x14ac:dyDescent="0.2">
      <c r="S17812" s="10"/>
    </row>
    <row r="17814" spans="19:19" x14ac:dyDescent="0.2">
      <c r="S17814" s="10"/>
    </row>
    <row r="17818" spans="19:19" x14ac:dyDescent="0.2">
      <c r="S17818" s="10"/>
    </row>
    <row r="17822" spans="19:19" x14ac:dyDescent="0.2">
      <c r="S17822" s="10"/>
    </row>
    <row r="17823" spans="19:19" x14ac:dyDescent="0.2">
      <c r="S17823" s="10"/>
    </row>
    <row r="17824" spans="19:19" x14ac:dyDescent="0.2">
      <c r="S17824" s="10"/>
    </row>
    <row r="17831" spans="19:19" x14ac:dyDescent="0.2">
      <c r="S17831" s="10"/>
    </row>
    <row r="17832" spans="19:19" x14ac:dyDescent="0.2">
      <c r="S17832" s="10"/>
    </row>
    <row r="17833" spans="19:19" x14ac:dyDescent="0.2">
      <c r="S17833" s="10"/>
    </row>
    <row r="17834" spans="19:19" x14ac:dyDescent="0.2">
      <c r="S17834" s="10"/>
    </row>
    <row r="17856" spans="19:19" x14ac:dyDescent="0.2">
      <c r="S17856" s="10"/>
    </row>
    <row r="17858" spans="19:19" x14ac:dyDescent="0.2">
      <c r="S17858" s="10"/>
    </row>
    <row r="17859" spans="19:19" x14ac:dyDescent="0.2">
      <c r="S17859" s="10"/>
    </row>
    <row r="17860" spans="19:19" x14ac:dyDescent="0.2">
      <c r="S17860" s="10"/>
    </row>
    <row r="17861" spans="19:19" x14ac:dyDescent="0.2">
      <c r="S17861" s="10"/>
    </row>
    <row r="17881" spans="19:19" x14ac:dyDescent="0.2">
      <c r="S17881" s="10"/>
    </row>
    <row r="17901" spans="19:19" x14ac:dyDescent="0.2">
      <c r="S17901" s="10"/>
    </row>
    <row r="17925" spans="19:19" x14ac:dyDescent="0.2">
      <c r="S17925" s="10"/>
    </row>
    <row r="17947" spans="19:19" x14ac:dyDescent="0.2">
      <c r="S17947" s="10"/>
    </row>
    <row r="17951" spans="19:19" x14ac:dyDescent="0.2">
      <c r="S17951" s="10"/>
    </row>
    <row r="17953" spans="19:19" x14ac:dyDescent="0.2">
      <c r="S17953" s="10"/>
    </row>
    <row r="17992" spans="19:19" x14ac:dyDescent="0.2">
      <c r="S17992" s="10"/>
    </row>
    <row r="17993" spans="19:19" x14ac:dyDescent="0.2">
      <c r="S17993" s="10"/>
    </row>
    <row r="18006" spans="19:19" x14ac:dyDescent="0.2">
      <c r="S18006" s="10"/>
    </row>
    <row r="18010" spans="19:19" x14ac:dyDescent="0.2">
      <c r="S18010" s="10"/>
    </row>
    <row r="18060" spans="19:19" x14ac:dyDescent="0.2">
      <c r="S18060" s="10"/>
    </row>
    <row r="18062" spans="19:19" x14ac:dyDescent="0.2">
      <c r="S18062" s="10"/>
    </row>
    <row r="18076" spans="19:19" x14ac:dyDescent="0.2">
      <c r="S18076" s="10"/>
    </row>
    <row r="18080" spans="19:19" x14ac:dyDescent="0.2">
      <c r="S18080" s="10"/>
    </row>
    <row r="18085" spans="19:19" x14ac:dyDescent="0.2">
      <c r="S18085" s="10"/>
    </row>
    <row r="18151" spans="19:19" x14ac:dyDescent="0.2">
      <c r="S18151" s="10"/>
    </row>
    <row r="18155" spans="19:19" x14ac:dyDescent="0.2">
      <c r="S18155" s="10"/>
    </row>
    <row r="18158" spans="19:19" x14ac:dyDescent="0.2">
      <c r="S18158" s="10"/>
    </row>
    <row r="18162" spans="19:19" x14ac:dyDescent="0.2">
      <c r="S18162" s="10"/>
    </row>
    <row r="18169" spans="19:19" x14ac:dyDescent="0.2">
      <c r="S18169" s="10"/>
    </row>
    <row r="18172" spans="19:19" x14ac:dyDescent="0.2">
      <c r="S18172" s="10"/>
    </row>
    <row r="18178" spans="19:19" x14ac:dyDescent="0.2">
      <c r="S18178" s="10"/>
    </row>
    <row r="18180" spans="19:19" x14ac:dyDescent="0.2">
      <c r="S18180" s="10"/>
    </row>
    <row r="18200" spans="19:19" x14ac:dyDescent="0.2">
      <c r="S18200" s="10"/>
    </row>
    <row r="18224" spans="19:19" x14ac:dyDescent="0.2">
      <c r="S18224" s="10"/>
    </row>
    <row r="18238" spans="19:19" x14ac:dyDescent="0.2">
      <c r="S18238" s="10"/>
    </row>
    <row r="18244" spans="19:19" x14ac:dyDescent="0.2">
      <c r="S18244" s="10"/>
    </row>
    <row r="18266" spans="19:19" x14ac:dyDescent="0.2">
      <c r="S18266" s="10"/>
    </row>
    <row r="18268" spans="19:19" x14ac:dyDescent="0.2">
      <c r="S18268" s="10"/>
    </row>
    <row r="18275" spans="19:19" x14ac:dyDescent="0.2">
      <c r="S18275" s="10"/>
    </row>
    <row r="18282" spans="19:19" x14ac:dyDescent="0.2">
      <c r="S18282" s="10"/>
    </row>
    <row r="18286" spans="19:19" x14ac:dyDescent="0.2">
      <c r="S18286" s="10"/>
    </row>
    <row r="18368" spans="19:19" x14ac:dyDescent="0.2">
      <c r="S18368" s="10"/>
    </row>
    <row r="18374" spans="19:19" x14ac:dyDescent="0.2">
      <c r="S18374" s="10"/>
    </row>
    <row r="18380" spans="19:19" x14ac:dyDescent="0.2">
      <c r="S18380" s="10"/>
    </row>
    <row r="18398" spans="19:19" x14ac:dyDescent="0.2">
      <c r="S18398" s="10"/>
    </row>
    <row r="18410" spans="19:19" x14ac:dyDescent="0.2">
      <c r="S18410" s="10"/>
    </row>
    <row r="18411" spans="19:19" x14ac:dyDescent="0.2">
      <c r="S18411" s="10"/>
    </row>
    <row r="18425" spans="19:19" x14ac:dyDescent="0.2">
      <c r="S18425" s="10"/>
    </row>
    <row r="18465" spans="19:19" x14ac:dyDescent="0.2">
      <c r="S18465" s="10"/>
    </row>
    <row r="18471" spans="19:19" x14ac:dyDescent="0.2">
      <c r="S18471" s="10"/>
    </row>
    <row r="18497" spans="19:19" x14ac:dyDescent="0.2">
      <c r="S18497" s="10"/>
    </row>
    <row r="18507" spans="19:19" x14ac:dyDescent="0.2">
      <c r="S18507" s="10"/>
    </row>
    <row r="18534" spans="19:19" x14ac:dyDescent="0.2">
      <c r="S18534" s="10"/>
    </row>
    <row r="18547" spans="19:19" x14ac:dyDescent="0.2">
      <c r="S18547" s="10"/>
    </row>
    <row r="18551" spans="19:19" x14ac:dyDescent="0.2">
      <c r="S18551" s="10"/>
    </row>
    <row r="18559" spans="19:19" x14ac:dyDescent="0.2">
      <c r="S18559" s="10"/>
    </row>
    <row r="18560" spans="19:19" x14ac:dyDescent="0.2">
      <c r="S18560" s="10"/>
    </row>
    <row r="18563" spans="19:19" x14ac:dyDescent="0.2">
      <c r="S18563" s="10"/>
    </row>
    <row r="18611" spans="19:19" x14ac:dyDescent="0.2">
      <c r="S18611" s="10"/>
    </row>
    <row r="18613" spans="19:19" x14ac:dyDescent="0.2">
      <c r="S18613" s="10"/>
    </row>
    <row r="18629" spans="19:19" x14ac:dyDescent="0.2">
      <c r="S18629" s="10"/>
    </row>
    <row r="18630" spans="19:19" x14ac:dyDescent="0.2">
      <c r="S18630" s="10"/>
    </row>
    <row r="18631" spans="19:19" x14ac:dyDescent="0.2">
      <c r="S18631" s="10"/>
    </row>
    <row r="18661" spans="19:19" x14ac:dyDescent="0.2">
      <c r="S18661" s="10"/>
    </row>
    <row r="18702" spans="19:19" x14ac:dyDescent="0.2">
      <c r="S18702" s="10"/>
    </row>
    <row r="18703" spans="19:19" x14ac:dyDescent="0.2">
      <c r="S18703" s="10"/>
    </row>
    <row r="18718" spans="19:19" x14ac:dyDescent="0.2">
      <c r="S18718" s="10"/>
    </row>
    <row r="18738" spans="19:19" x14ac:dyDescent="0.2">
      <c r="S18738" s="10"/>
    </row>
    <row r="18740" spans="19:19" x14ac:dyDescent="0.2">
      <c r="S18740" s="10"/>
    </row>
    <row r="18744" spans="19:19" x14ac:dyDescent="0.2">
      <c r="S18744" s="10"/>
    </row>
    <row r="18746" spans="19:19" x14ac:dyDescent="0.2">
      <c r="S18746" s="10"/>
    </row>
    <row r="18748" spans="19:19" x14ac:dyDescent="0.2">
      <c r="S18748" s="10"/>
    </row>
    <row r="18752" spans="19:19" x14ac:dyDescent="0.2">
      <c r="S18752" s="10"/>
    </row>
    <row r="18753" spans="19:19" x14ac:dyDescent="0.2">
      <c r="S18753" s="10"/>
    </row>
    <row r="18754" spans="19:19" x14ac:dyDescent="0.2">
      <c r="S18754" s="10"/>
    </row>
    <row r="18755" spans="19:19" x14ac:dyDescent="0.2">
      <c r="S18755" s="10"/>
    </row>
    <row r="18764" spans="19:19" x14ac:dyDescent="0.2">
      <c r="S18764" s="10"/>
    </row>
    <row r="18766" spans="19:19" x14ac:dyDescent="0.2">
      <c r="S18766" s="10"/>
    </row>
    <row r="18767" spans="19:19" x14ac:dyDescent="0.2">
      <c r="S18767" s="10"/>
    </row>
    <row r="18768" spans="19:19" x14ac:dyDescent="0.2">
      <c r="S18768" s="10"/>
    </row>
    <row r="18769" spans="19:19" x14ac:dyDescent="0.2">
      <c r="S18769" s="10"/>
    </row>
    <row r="18790" spans="19:19" x14ac:dyDescent="0.2">
      <c r="S18790" s="10"/>
    </row>
    <row r="18814" spans="19:19" x14ac:dyDescent="0.2">
      <c r="S18814" s="10"/>
    </row>
    <row r="18815" spans="19:19" x14ac:dyDescent="0.2">
      <c r="S18815" s="10"/>
    </row>
    <row r="18816" spans="19:19" x14ac:dyDescent="0.2">
      <c r="S18816" s="10"/>
    </row>
    <row r="18817" spans="19:19" x14ac:dyDescent="0.2">
      <c r="S18817" s="10"/>
    </row>
    <row r="18818" spans="19:19" x14ac:dyDescent="0.2">
      <c r="S18818" s="10"/>
    </row>
    <row r="18819" spans="19:19" x14ac:dyDescent="0.2">
      <c r="S18819" s="10"/>
    </row>
    <row r="18820" spans="19:19" x14ac:dyDescent="0.2">
      <c r="S18820" s="10"/>
    </row>
    <row r="18821" spans="19:19" x14ac:dyDescent="0.2">
      <c r="S18821" s="10"/>
    </row>
    <row r="18822" spans="19:19" x14ac:dyDescent="0.2">
      <c r="S18822" s="10"/>
    </row>
    <row r="18823" spans="19:19" x14ac:dyDescent="0.2">
      <c r="S18823" s="10"/>
    </row>
    <row r="18826" spans="19:19" x14ac:dyDescent="0.2">
      <c r="S18826" s="10"/>
    </row>
    <row r="18833" spans="19:19" x14ac:dyDescent="0.2">
      <c r="S18833" s="10"/>
    </row>
    <row r="18834" spans="19:19" x14ac:dyDescent="0.2">
      <c r="S18834" s="10"/>
    </row>
    <row r="18835" spans="19:19" x14ac:dyDescent="0.2">
      <c r="S18835" s="10"/>
    </row>
    <row r="18841" spans="19:19" x14ac:dyDescent="0.2">
      <c r="S18841" s="10"/>
    </row>
    <row r="18845" spans="19:19" x14ac:dyDescent="0.2">
      <c r="S18845" s="10"/>
    </row>
    <row r="18846" spans="19:19" x14ac:dyDescent="0.2">
      <c r="S18846" s="10"/>
    </row>
    <row r="18848" spans="19:19" x14ac:dyDescent="0.2">
      <c r="S18848" s="10"/>
    </row>
    <row r="18856" spans="19:19" x14ac:dyDescent="0.2">
      <c r="S18856" s="10"/>
    </row>
    <row r="18858" spans="19:19" x14ac:dyDescent="0.2">
      <c r="S18858" s="10"/>
    </row>
    <row r="18872" spans="19:19" x14ac:dyDescent="0.2">
      <c r="S18872" s="10"/>
    </row>
    <row r="18880" spans="19:19" x14ac:dyDescent="0.2">
      <c r="S18880" s="10"/>
    </row>
    <row r="18888" spans="19:19" x14ac:dyDescent="0.2">
      <c r="S18888" s="10"/>
    </row>
    <row r="18889" spans="19:19" x14ac:dyDescent="0.2">
      <c r="S18889" s="10"/>
    </row>
    <row r="18890" spans="19:19" x14ac:dyDescent="0.2">
      <c r="S18890" s="10"/>
    </row>
    <row r="18891" spans="19:19" x14ac:dyDescent="0.2">
      <c r="S18891" s="10"/>
    </row>
    <row r="18892" spans="19:19" x14ac:dyDescent="0.2">
      <c r="S18892" s="10"/>
    </row>
    <row r="18893" spans="19:19" x14ac:dyDescent="0.2">
      <c r="S18893" s="10"/>
    </row>
    <row r="18894" spans="19:19" x14ac:dyDescent="0.2">
      <c r="S18894" s="10"/>
    </row>
    <row r="18927" spans="19:19" x14ac:dyDescent="0.2">
      <c r="S18927" s="10"/>
    </row>
    <row r="18939" spans="19:19" x14ac:dyDescent="0.2">
      <c r="S18939" s="10"/>
    </row>
    <row r="18958" spans="19:19" x14ac:dyDescent="0.2">
      <c r="S18958" s="10"/>
    </row>
    <row r="18961" spans="19:19" x14ac:dyDescent="0.2">
      <c r="S18961" s="10"/>
    </row>
    <row r="18962" spans="19:19" x14ac:dyDescent="0.2">
      <c r="S18962" s="10"/>
    </row>
    <row r="18980" spans="19:19" x14ac:dyDescent="0.2">
      <c r="S18980" s="10"/>
    </row>
    <row r="18994" spans="19:19" x14ac:dyDescent="0.2">
      <c r="S18994" s="10"/>
    </row>
    <row r="19002" spans="19:19" x14ac:dyDescent="0.2">
      <c r="S19002" s="10"/>
    </row>
    <row r="19012" spans="19:19" x14ac:dyDescent="0.2">
      <c r="S19012" s="10"/>
    </row>
    <row r="19014" spans="19:19" x14ac:dyDescent="0.2">
      <c r="S19014" s="10"/>
    </row>
    <row r="19021" spans="19:19" x14ac:dyDescent="0.2">
      <c r="S19021" s="10"/>
    </row>
    <row r="19025" spans="19:19" x14ac:dyDescent="0.2">
      <c r="S19025" s="10"/>
    </row>
    <row r="19029" spans="19:19" x14ac:dyDescent="0.2">
      <c r="S19029" s="10"/>
    </row>
    <row r="19030" spans="19:19" x14ac:dyDescent="0.2">
      <c r="S19030" s="10"/>
    </row>
    <row r="19031" spans="19:19" x14ac:dyDescent="0.2">
      <c r="S19031" s="10"/>
    </row>
    <row r="19032" spans="19:19" x14ac:dyDescent="0.2">
      <c r="S19032" s="10"/>
    </row>
    <row r="19033" spans="19:19" x14ac:dyDescent="0.2">
      <c r="S19033" s="10"/>
    </row>
    <row r="19034" spans="19:19" x14ac:dyDescent="0.2">
      <c r="S19034" s="10"/>
    </row>
    <row r="19035" spans="19:19" x14ac:dyDescent="0.2">
      <c r="S19035" s="10"/>
    </row>
    <row r="19039" spans="19:19" x14ac:dyDescent="0.2">
      <c r="S19039" s="10"/>
    </row>
    <row r="19047" spans="19:19" x14ac:dyDescent="0.2">
      <c r="S19047" s="10"/>
    </row>
    <row r="19048" spans="19:19" x14ac:dyDescent="0.2">
      <c r="S19048" s="10"/>
    </row>
    <row r="19049" spans="19:19" x14ac:dyDescent="0.2">
      <c r="S19049" s="10"/>
    </row>
    <row r="19050" spans="19:19" x14ac:dyDescent="0.2">
      <c r="S19050" s="10"/>
    </row>
    <row r="19051" spans="19:19" x14ac:dyDescent="0.2">
      <c r="S19051" s="10"/>
    </row>
    <row r="19052" spans="19:19" x14ac:dyDescent="0.2">
      <c r="S19052" s="10"/>
    </row>
    <row r="19053" spans="19:19" x14ac:dyDescent="0.2">
      <c r="S19053" s="10"/>
    </row>
    <row r="19054" spans="19:19" x14ac:dyDescent="0.2">
      <c r="S19054" s="10"/>
    </row>
    <row r="19055" spans="19:19" x14ac:dyDescent="0.2">
      <c r="S19055" s="10"/>
    </row>
    <row r="19056" spans="19:19" x14ac:dyDescent="0.2">
      <c r="S19056" s="10"/>
    </row>
    <row r="19057" spans="19:19" x14ac:dyDescent="0.2">
      <c r="S19057" s="10"/>
    </row>
    <row r="19058" spans="19:19" x14ac:dyDescent="0.2">
      <c r="S19058" s="10"/>
    </row>
    <row r="19059" spans="19:19" x14ac:dyDescent="0.2">
      <c r="S19059" s="10"/>
    </row>
    <row r="19060" spans="19:19" x14ac:dyDescent="0.2">
      <c r="S19060" s="10"/>
    </row>
    <row r="19061" spans="19:19" x14ac:dyDescent="0.2">
      <c r="S19061" s="10"/>
    </row>
    <row r="19062" spans="19:19" x14ac:dyDescent="0.2">
      <c r="S19062" s="10"/>
    </row>
    <row r="19063" spans="19:19" x14ac:dyDescent="0.2">
      <c r="S19063" s="10"/>
    </row>
    <row r="19064" spans="19:19" x14ac:dyDescent="0.2">
      <c r="S19064" s="10"/>
    </row>
    <row r="19067" spans="19:19" x14ac:dyDescent="0.2">
      <c r="S19067" s="10"/>
    </row>
    <row r="19068" spans="19:19" x14ac:dyDescent="0.2">
      <c r="S19068" s="10"/>
    </row>
    <row r="19069" spans="19:19" x14ac:dyDescent="0.2">
      <c r="S19069" s="10"/>
    </row>
    <row r="19072" spans="19:19" x14ac:dyDescent="0.2">
      <c r="S19072" s="10"/>
    </row>
    <row r="19073" spans="19:19" x14ac:dyDescent="0.2">
      <c r="S19073" s="10"/>
    </row>
    <row r="19076" spans="19:19" x14ac:dyDescent="0.2">
      <c r="S19076" s="10"/>
    </row>
    <row r="19077" spans="19:19" x14ac:dyDescent="0.2">
      <c r="S19077" s="10"/>
    </row>
    <row r="19078" spans="19:19" x14ac:dyDescent="0.2">
      <c r="S19078" s="10"/>
    </row>
    <row r="19079" spans="19:19" x14ac:dyDescent="0.2">
      <c r="S19079" s="10"/>
    </row>
    <row r="19080" spans="19:19" x14ac:dyDescent="0.2">
      <c r="S19080" s="10"/>
    </row>
    <row r="19081" spans="19:19" x14ac:dyDescent="0.2">
      <c r="S19081" s="10"/>
    </row>
    <row r="19082" spans="19:19" x14ac:dyDescent="0.2">
      <c r="S19082" s="10"/>
    </row>
    <row r="19083" spans="19:19" x14ac:dyDescent="0.2">
      <c r="S19083" s="10"/>
    </row>
    <row r="19084" spans="19:19" x14ac:dyDescent="0.2">
      <c r="S19084" s="10"/>
    </row>
    <row r="19085" spans="19:19" x14ac:dyDescent="0.2">
      <c r="S19085" s="10"/>
    </row>
    <row r="19086" spans="19:19" x14ac:dyDescent="0.2">
      <c r="S19086" s="10"/>
    </row>
    <row r="19087" spans="19:19" x14ac:dyDescent="0.2">
      <c r="S19087" s="10"/>
    </row>
    <row r="19088" spans="19:19" x14ac:dyDescent="0.2">
      <c r="S19088" s="10"/>
    </row>
    <row r="19089" spans="19:19" x14ac:dyDescent="0.2">
      <c r="S19089" s="10"/>
    </row>
    <row r="19090" spans="19:19" x14ac:dyDescent="0.2">
      <c r="S19090" s="10"/>
    </row>
    <row r="19091" spans="19:19" x14ac:dyDescent="0.2">
      <c r="S19091" s="10"/>
    </row>
    <row r="19111" spans="19:19" x14ac:dyDescent="0.2">
      <c r="S19111" s="10"/>
    </row>
    <row r="19117" spans="19:19" x14ac:dyDescent="0.2">
      <c r="S19117" s="10"/>
    </row>
    <row r="19125" spans="19:19" x14ac:dyDescent="0.2">
      <c r="S19125" s="10"/>
    </row>
    <row r="19132" spans="19:19" x14ac:dyDescent="0.2">
      <c r="S19132" s="10"/>
    </row>
    <row r="19134" spans="19:19" x14ac:dyDescent="0.2">
      <c r="S19134" s="10"/>
    </row>
    <row r="19137" spans="19:19" x14ac:dyDescent="0.2">
      <c r="S19137" s="10"/>
    </row>
    <row r="19140" spans="19:19" x14ac:dyDescent="0.2">
      <c r="S19140" s="10"/>
    </row>
    <row r="19150" spans="19:19" x14ac:dyDescent="0.2">
      <c r="S19150" s="10"/>
    </row>
    <row r="19151" spans="19:19" x14ac:dyDescent="0.2">
      <c r="S19151" s="10"/>
    </row>
    <row r="19152" spans="19:19" x14ac:dyDescent="0.2">
      <c r="S19152" s="10"/>
    </row>
    <row r="19153" spans="19:19" x14ac:dyDescent="0.2">
      <c r="S19153" s="10"/>
    </row>
    <row r="19154" spans="19:19" x14ac:dyDescent="0.2">
      <c r="S19154" s="10"/>
    </row>
    <row r="19170" spans="19:19" x14ac:dyDescent="0.2">
      <c r="S19170" s="10"/>
    </row>
    <row r="19192" spans="19:19" x14ac:dyDescent="0.2">
      <c r="S19192" s="10"/>
    </row>
    <row r="19193" spans="19:19" x14ac:dyDescent="0.2">
      <c r="S19193" s="10"/>
    </row>
    <row r="19201" spans="19:19" x14ac:dyDescent="0.2">
      <c r="S19201" s="10"/>
    </row>
    <row r="19213" spans="19:19" x14ac:dyDescent="0.2">
      <c r="S19213" s="10"/>
    </row>
    <row r="19228" spans="19:19" x14ac:dyDescent="0.2">
      <c r="S19228" s="10"/>
    </row>
    <row r="19230" spans="19:19" x14ac:dyDescent="0.2">
      <c r="S19230" s="10"/>
    </row>
    <row r="19239" spans="19:19" x14ac:dyDescent="0.2">
      <c r="S19239" s="10"/>
    </row>
    <row r="19240" spans="19:19" x14ac:dyDescent="0.2">
      <c r="S19240" s="10"/>
    </row>
    <row r="19241" spans="19:19" x14ac:dyDescent="0.2">
      <c r="S19241" s="10"/>
    </row>
    <row r="19243" spans="19:19" x14ac:dyDescent="0.2">
      <c r="S19243" s="10"/>
    </row>
    <row r="19244" spans="19:19" x14ac:dyDescent="0.2">
      <c r="S19244" s="10"/>
    </row>
    <row r="19245" spans="19:19" x14ac:dyDescent="0.2">
      <c r="S19245" s="10"/>
    </row>
    <row r="19246" spans="19:19" x14ac:dyDescent="0.2">
      <c r="S19246" s="10"/>
    </row>
    <row r="19258" spans="19:19" x14ac:dyDescent="0.2">
      <c r="S19258" s="10"/>
    </row>
    <row r="19308" spans="19:19" x14ac:dyDescent="0.2">
      <c r="S19308" s="10"/>
    </row>
    <row r="19310" spans="19:19" x14ac:dyDescent="0.2">
      <c r="S19310" s="10"/>
    </row>
    <row r="19324" spans="19:19" x14ac:dyDescent="0.2">
      <c r="S19324" s="10"/>
    </row>
    <row r="19326" spans="19:19" x14ac:dyDescent="0.2">
      <c r="S19326" s="10"/>
    </row>
    <row r="19328" spans="19:19" x14ac:dyDescent="0.2">
      <c r="S19328" s="10"/>
    </row>
    <row r="19341" spans="19:19" x14ac:dyDescent="0.2">
      <c r="S19341" s="10"/>
    </row>
    <row r="19342" spans="19:19" x14ac:dyDescent="0.2">
      <c r="S19342" s="10"/>
    </row>
    <row r="19384" spans="19:19" x14ac:dyDescent="0.2">
      <c r="S19384" s="10"/>
    </row>
    <row r="19397" spans="19:19" x14ac:dyDescent="0.2">
      <c r="S19397" s="10"/>
    </row>
    <row r="19401" spans="19:19" x14ac:dyDescent="0.2">
      <c r="S19401" s="10"/>
    </row>
    <row r="19418" spans="19:19" x14ac:dyDescent="0.2">
      <c r="S19418" s="10"/>
    </row>
    <row r="19420" spans="19:19" x14ac:dyDescent="0.2">
      <c r="S19420" s="10"/>
    </row>
    <row r="19425" spans="19:19" x14ac:dyDescent="0.2">
      <c r="S19425" s="10"/>
    </row>
    <row r="19428" spans="19:19" x14ac:dyDescent="0.2">
      <c r="S19428" s="10"/>
    </row>
    <row r="19433" spans="19:19" x14ac:dyDescent="0.2">
      <c r="S19433" s="10"/>
    </row>
    <row r="19445" spans="19:19" x14ac:dyDescent="0.2">
      <c r="S19445" s="10"/>
    </row>
    <row r="19449" spans="19:19" x14ac:dyDescent="0.2">
      <c r="S19449" s="10"/>
    </row>
    <row r="19466" spans="19:19" x14ac:dyDescent="0.2">
      <c r="S19466" s="10"/>
    </row>
    <row r="19467" spans="19:19" x14ac:dyDescent="0.2">
      <c r="S19467" s="10"/>
    </row>
    <row r="19468" spans="19:19" x14ac:dyDescent="0.2">
      <c r="S19468" s="10"/>
    </row>
    <row r="19471" spans="19:19" x14ac:dyDescent="0.2">
      <c r="S19471" s="10"/>
    </row>
    <row r="19472" spans="19:19" x14ac:dyDescent="0.2">
      <c r="S19472" s="10"/>
    </row>
    <row r="19473" spans="19:19" x14ac:dyDescent="0.2">
      <c r="S19473" s="10"/>
    </row>
    <row r="19474" spans="19:19" x14ac:dyDescent="0.2">
      <c r="S19474" s="10"/>
    </row>
    <row r="19475" spans="19:19" x14ac:dyDescent="0.2">
      <c r="S19475" s="10"/>
    </row>
    <row r="19476" spans="19:19" x14ac:dyDescent="0.2">
      <c r="S19476" s="10"/>
    </row>
    <row r="19479" spans="19:19" x14ac:dyDescent="0.2">
      <c r="S19479" s="10"/>
    </row>
    <row r="19480" spans="19:19" x14ac:dyDescent="0.2">
      <c r="S19480" s="10"/>
    </row>
    <row r="19481" spans="19:19" x14ac:dyDescent="0.2">
      <c r="S19481" s="10"/>
    </row>
    <row r="19482" spans="19:19" x14ac:dyDescent="0.2">
      <c r="S19482" s="10"/>
    </row>
    <row r="19483" spans="19:19" x14ac:dyDescent="0.2">
      <c r="S19483" s="10"/>
    </row>
    <row r="19484" spans="19:19" x14ac:dyDescent="0.2">
      <c r="S19484" s="10"/>
    </row>
    <row r="19485" spans="19:19" x14ac:dyDescent="0.2">
      <c r="S19485" s="10"/>
    </row>
    <row r="19486" spans="19:19" x14ac:dyDescent="0.2">
      <c r="S19486" s="10"/>
    </row>
    <row r="19499" spans="19:19" x14ac:dyDescent="0.2">
      <c r="S19499" s="10"/>
    </row>
    <row r="19505" spans="19:19" x14ac:dyDescent="0.2">
      <c r="S19505" s="10"/>
    </row>
    <row r="19509" spans="19:19" x14ac:dyDescent="0.2">
      <c r="S19509" s="10"/>
    </row>
    <row r="19510" spans="19:19" x14ac:dyDescent="0.2">
      <c r="S19510" s="10"/>
    </row>
    <row r="19511" spans="19:19" x14ac:dyDescent="0.2">
      <c r="S19511" s="10"/>
    </row>
    <row r="19526" spans="19:19" x14ac:dyDescent="0.2">
      <c r="S19526" s="10"/>
    </row>
    <row r="19529" spans="19:19" x14ac:dyDescent="0.2">
      <c r="S19529" s="10"/>
    </row>
    <row r="19530" spans="19:19" x14ac:dyDescent="0.2">
      <c r="S19530" s="10"/>
    </row>
    <row r="19531" spans="19:19" x14ac:dyDescent="0.2">
      <c r="S19531" s="10"/>
    </row>
    <row r="19532" spans="19:19" x14ac:dyDescent="0.2">
      <c r="S19532" s="10"/>
    </row>
    <row r="19533" spans="19:19" x14ac:dyDescent="0.2">
      <c r="S19533" s="10"/>
    </row>
    <row r="19534" spans="19:19" x14ac:dyDescent="0.2">
      <c r="S19534" s="10"/>
    </row>
    <row r="19535" spans="19:19" x14ac:dyDescent="0.2">
      <c r="S19535" s="10"/>
    </row>
    <row r="19536" spans="19:19" x14ac:dyDescent="0.2">
      <c r="S19536" s="10"/>
    </row>
    <row r="19537" spans="19:19" x14ac:dyDescent="0.2">
      <c r="S19537" s="10"/>
    </row>
    <row r="19538" spans="19:19" x14ac:dyDescent="0.2">
      <c r="S19538" s="10"/>
    </row>
    <row r="19539" spans="19:19" x14ac:dyDescent="0.2">
      <c r="S19539" s="10"/>
    </row>
    <row r="19540" spans="19:19" x14ac:dyDescent="0.2">
      <c r="S19540" s="10"/>
    </row>
    <row r="19541" spans="19:19" x14ac:dyDescent="0.2">
      <c r="S19541" s="10"/>
    </row>
    <row r="19543" spans="19:19" x14ac:dyDescent="0.2">
      <c r="S19543" s="10"/>
    </row>
    <row r="19544" spans="19:19" x14ac:dyDescent="0.2">
      <c r="S19544" s="10"/>
    </row>
    <row r="19545" spans="19:19" x14ac:dyDescent="0.2">
      <c r="S19545" s="10"/>
    </row>
    <row r="19546" spans="19:19" x14ac:dyDescent="0.2">
      <c r="S19546" s="10"/>
    </row>
    <row r="19547" spans="19:19" x14ac:dyDescent="0.2">
      <c r="S19547" s="10"/>
    </row>
    <row r="19548" spans="19:19" x14ac:dyDescent="0.2">
      <c r="S19548" s="10"/>
    </row>
    <row r="19549" spans="19:19" x14ac:dyDescent="0.2">
      <c r="S19549" s="10"/>
    </row>
    <row r="19550" spans="19:19" x14ac:dyDescent="0.2">
      <c r="S19550" s="10"/>
    </row>
    <row r="19551" spans="19:19" x14ac:dyDescent="0.2">
      <c r="S19551" s="10"/>
    </row>
    <row r="19552" spans="19:19" x14ac:dyDescent="0.2">
      <c r="S19552" s="10"/>
    </row>
    <row r="19553" spans="19:19" x14ac:dyDescent="0.2">
      <c r="S19553" s="10"/>
    </row>
    <row r="19554" spans="19:19" x14ac:dyDescent="0.2">
      <c r="S19554" s="10"/>
    </row>
    <row r="19555" spans="19:19" x14ac:dyDescent="0.2">
      <c r="S19555" s="10"/>
    </row>
    <row r="19556" spans="19:19" x14ac:dyDescent="0.2">
      <c r="S19556" s="10"/>
    </row>
    <row r="19557" spans="19:19" x14ac:dyDescent="0.2">
      <c r="S19557" s="10"/>
    </row>
    <row r="19558" spans="19:19" x14ac:dyDescent="0.2">
      <c r="S19558" s="10"/>
    </row>
    <row r="19559" spans="19:19" x14ac:dyDescent="0.2">
      <c r="S19559" s="10"/>
    </row>
    <row r="19560" spans="19:19" x14ac:dyDescent="0.2">
      <c r="S19560" s="10"/>
    </row>
    <row r="19562" spans="19:19" x14ac:dyDescent="0.2">
      <c r="S19562" s="10"/>
    </row>
    <row r="19563" spans="19:19" x14ac:dyDescent="0.2">
      <c r="S19563" s="10"/>
    </row>
    <row r="19564" spans="19:19" x14ac:dyDescent="0.2">
      <c r="S19564" s="10"/>
    </row>
    <row r="19565" spans="19:19" x14ac:dyDescent="0.2">
      <c r="S19565" s="10"/>
    </row>
    <row r="19566" spans="19:19" x14ac:dyDescent="0.2">
      <c r="S19566" s="10"/>
    </row>
    <row r="19567" spans="19:19" x14ac:dyDescent="0.2">
      <c r="S19567" s="10"/>
    </row>
    <row r="19568" spans="19:19" x14ac:dyDescent="0.2">
      <c r="S19568" s="10"/>
    </row>
    <row r="19569" spans="19:19" x14ac:dyDescent="0.2">
      <c r="S19569" s="10"/>
    </row>
    <row r="19571" spans="19:19" x14ac:dyDescent="0.2">
      <c r="S19571" s="10"/>
    </row>
    <row r="19572" spans="19:19" x14ac:dyDescent="0.2">
      <c r="S19572" s="10"/>
    </row>
    <row r="19574" spans="19:19" x14ac:dyDescent="0.2">
      <c r="S19574" s="10"/>
    </row>
    <row r="19578" spans="19:19" x14ac:dyDescent="0.2">
      <c r="S19578" s="10"/>
    </row>
    <row r="19579" spans="19:19" x14ac:dyDescent="0.2">
      <c r="S19579" s="10"/>
    </row>
    <row r="19584" spans="19:19" x14ac:dyDescent="0.2">
      <c r="S19584" s="10"/>
    </row>
    <row r="19661" spans="19:19" x14ac:dyDescent="0.2">
      <c r="S19661" s="10"/>
    </row>
    <row r="19662" spans="19:19" x14ac:dyDescent="0.2">
      <c r="S19662" s="10"/>
    </row>
    <row r="19663" spans="19:19" x14ac:dyDescent="0.2">
      <c r="S19663" s="10"/>
    </row>
    <row r="19664" spans="19:19" x14ac:dyDescent="0.2">
      <c r="S19664" s="10"/>
    </row>
    <row r="19665" spans="19:19" x14ac:dyDescent="0.2">
      <c r="S19665" s="10"/>
    </row>
    <row r="19666" spans="19:19" x14ac:dyDescent="0.2">
      <c r="S19666" s="10"/>
    </row>
    <row r="19667" spans="19:19" x14ac:dyDescent="0.2">
      <c r="S19667" s="10"/>
    </row>
    <row r="19668" spans="19:19" x14ac:dyDescent="0.2">
      <c r="S19668" s="10"/>
    </row>
    <row r="19669" spans="19:19" x14ac:dyDescent="0.2">
      <c r="S19669" s="10"/>
    </row>
    <row r="19670" spans="19:19" x14ac:dyDescent="0.2">
      <c r="S19670" s="10"/>
    </row>
    <row r="19671" spans="19:19" x14ac:dyDescent="0.2">
      <c r="S19671" s="10"/>
    </row>
    <row r="19685" spans="19:19" x14ac:dyDescent="0.2">
      <c r="S19685" s="10"/>
    </row>
    <row r="19686" spans="19:19" x14ac:dyDescent="0.2">
      <c r="S19686" s="10"/>
    </row>
    <row r="19687" spans="19:19" x14ac:dyDescent="0.2">
      <c r="S19687" s="10"/>
    </row>
    <row r="19688" spans="19:19" x14ac:dyDescent="0.2">
      <c r="S19688" s="10"/>
    </row>
    <row r="19691" spans="19:19" x14ac:dyDescent="0.2">
      <c r="S19691" s="10"/>
    </row>
    <row r="19692" spans="19:19" x14ac:dyDescent="0.2">
      <c r="S19692" s="10"/>
    </row>
    <row r="19693" spans="19:19" x14ac:dyDescent="0.2">
      <c r="S19693" s="10"/>
    </row>
    <row r="19694" spans="19:19" x14ac:dyDescent="0.2">
      <c r="S19694" s="10"/>
    </row>
    <row r="19695" spans="19:19" x14ac:dyDescent="0.2">
      <c r="S19695" s="10"/>
    </row>
    <row r="19696" spans="19:19" x14ac:dyDescent="0.2">
      <c r="S19696" s="10"/>
    </row>
    <row r="19697" spans="19:19" x14ac:dyDescent="0.2">
      <c r="S19697" s="10"/>
    </row>
    <row r="19698" spans="19:19" x14ac:dyDescent="0.2">
      <c r="S19698" s="10"/>
    </row>
    <row r="19699" spans="19:19" x14ac:dyDescent="0.2">
      <c r="S19699" s="10"/>
    </row>
    <row r="19700" spans="19:19" x14ac:dyDescent="0.2">
      <c r="S19700" s="10"/>
    </row>
    <row r="19701" spans="19:19" x14ac:dyDescent="0.2">
      <c r="S19701" s="10"/>
    </row>
    <row r="19702" spans="19:19" x14ac:dyDescent="0.2">
      <c r="S19702" s="10"/>
    </row>
    <row r="19703" spans="19:19" x14ac:dyDescent="0.2">
      <c r="S19703" s="10"/>
    </row>
    <row r="19704" spans="19:19" x14ac:dyDescent="0.2">
      <c r="S19704" s="10"/>
    </row>
    <row r="19705" spans="19:19" x14ac:dyDescent="0.2">
      <c r="S19705" s="10"/>
    </row>
    <row r="19706" spans="19:19" x14ac:dyDescent="0.2">
      <c r="S19706" s="10"/>
    </row>
    <row r="19707" spans="19:19" x14ac:dyDescent="0.2">
      <c r="S19707" s="10"/>
    </row>
    <row r="19710" spans="19:19" x14ac:dyDescent="0.2">
      <c r="S19710" s="10"/>
    </row>
    <row r="19711" spans="19:19" x14ac:dyDescent="0.2">
      <c r="S19711" s="10"/>
    </row>
    <row r="19712" spans="19:19" x14ac:dyDescent="0.2">
      <c r="S19712" s="10"/>
    </row>
    <row r="19713" spans="19:19" x14ac:dyDescent="0.2">
      <c r="S19713" s="10"/>
    </row>
    <row r="19714" spans="19:19" x14ac:dyDescent="0.2">
      <c r="S19714" s="10"/>
    </row>
    <row r="19715" spans="19:19" x14ac:dyDescent="0.2">
      <c r="S19715" s="10"/>
    </row>
    <row r="19716" spans="19:19" x14ac:dyDescent="0.2">
      <c r="S19716" s="10"/>
    </row>
    <row r="19717" spans="19:19" x14ac:dyDescent="0.2">
      <c r="S19717" s="10"/>
    </row>
    <row r="19718" spans="19:19" x14ac:dyDescent="0.2">
      <c r="S19718" s="10"/>
    </row>
    <row r="19719" spans="19:19" x14ac:dyDescent="0.2">
      <c r="S19719" s="10"/>
    </row>
    <row r="19720" spans="19:19" x14ac:dyDescent="0.2">
      <c r="S19720" s="10"/>
    </row>
    <row r="19721" spans="19:19" x14ac:dyDescent="0.2">
      <c r="S19721" s="10"/>
    </row>
    <row r="19722" spans="19:19" x14ac:dyDescent="0.2">
      <c r="S19722" s="10"/>
    </row>
    <row r="19723" spans="19:19" x14ac:dyDescent="0.2">
      <c r="S19723" s="10"/>
    </row>
    <row r="19724" spans="19:19" x14ac:dyDescent="0.2">
      <c r="S19724" s="10"/>
    </row>
    <row r="19725" spans="19:19" x14ac:dyDescent="0.2">
      <c r="S19725" s="10"/>
    </row>
    <row r="19726" spans="19:19" x14ac:dyDescent="0.2">
      <c r="S19726" s="10"/>
    </row>
    <row r="19727" spans="19:19" x14ac:dyDescent="0.2">
      <c r="S19727" s="10"/>
    </row>
    <row r="19728" spans="19:19" x14ac:dyDescent="0.2">
      <c r="S19728" s="10"/>
    </row>
    <row r="19789" spans="19:19" x14ac:dyDescent="0.2">
      <c r="S19789" s="10"/>
    </row>
    <row r="19795" spans="19:19" x14ac:dyDescent="0.2">
      <c r="S19795" s="10"/>
    </row>
    <row r="19797" spans="19:19" x14ac:dyDescent="0.2">
      <c r="S19797" s="10"/>
    </row>
    <row r="19799" spans="19:19" x14ac:dyDescent="0.2">
      <c r="S19799" s="10"/>
    </row>
    <row r="19801" spans="19:19" x14ac:dyDescent="0.2">
      <c r="S19801" s="10"/>
    </row>
    <row r="19802" spans="19:19" x14ac:dyDescent="0.2">
      <c r="S19802" s="10"/>
    </row>
    <row r="19803" spans="19:19" x14ac:dyDescent="0.2">
      <c r="S19803" s="10"/>
    </row>
    <row r="19804" spans="19:19" x14ac:dyDescent="0.2">
      <c r="S19804" s="10"/>
    </row>
    <row r="19814" spans="19:19" x14ac:dyDescent="0.2">
      <c r="S19814" s="10"/>
    </row>
    <row r="19831" spans="19:19" x14ac:dyDescent="0.2">
      <c r="S19831" s="10"/>
    </row>
    <row r="19846" spans="19:19" x14ac:dyDescent="0.2">
      <c r="S19846" s="10"/>
    </row>
    <row r="19847" spans="19:19" x14ac:dyDescent="0.2">
      <c r="S19847" s="10"/>
    </row>
    <row r="19848" spans="19:19" x14ac:dyDescent="0.2">
      <c r="S19848" s="10"/>
    </row>
    <row r="19849" spans="19:19" x14ac:dyDescent="0.2">
      <c r="S19849" s="10"/>
    </row>
    <row r="19850" spans="19:19" x14ac:dyDescent="0.2">
      <c r="S19850" s="10"/>
    </row>
    <row r="19851" spans="19:19" x14ac:dyDescent="0.2">
      <c r="S19851" s="10"/>
    </row>
    <row r="19855" spans="19:19" x14ac:dyDescent="0.2">
      <c r="S19855" s="10"/>
    </row>
    <row r="19885" spans="19:19" x14ac:dyDescent="0.2">
      <c r="S19885" s="10"/>
    </row>
    <row r="19890" spans="19:19" x14ac:dyDescent="0.2">
      <c r="S19890" s="10"/>
    </row>
    <row r="19891" spans="19:19" x14ac:dyDescent="0.2">
      <c r="S19891" s="10"/>
    </row>
    <row r="19892" spans="19:19" x14ac:dyDescent="0.2">
      <c r="S19892" s="10"/>
    </row>
    <row r="19895" spans="19:19" x14ac:dyDescent="0.2">
      <c r="S19895" s="10"/>
    </row>
    <row r="19896" spans="19:19" x14ac:dyDescent="0.2">
      <c r="S19896" s="10"/>
    </row>
    <row r="19897" spans="19:19" x14ac:dyDescent="0.2">
      <c r="S19897" s="10"/>
    </row>
    <row r="19898" spans="19:19" x14ac:dyDescent="0.2">
      <c r="S19898" s="10"/>
    </row>
    <row r="19899" spans="19:19" x14ac:dyDescent="0.2">
      <c r="S19899" s="10"/>
    </row>
    <row r="19900" spans="19:19" x14ac:dyDescent="0.2">
      <c r="S19900" s="10"/>
    </row>
    <row r="19901" spans="19:19" x14ac:dyDescent="0.2">
      <c r="S19901" s="10"/>
    </row>
    <row r="19915" spans="19:19" x14ac:dyDescent="0.2">
      <c r="S19915" s="10"/>
    </row>
    <row r="19927" spans="19:19" x14ac:dyDescent="0.2">
      <c r="S19927" s="10"/>
    </row>
    <row r="19940" spans="19:19" x14ac:dyDescent="0.2">
      <c r="S19940" s="10"/>
    </row>
    <row r="19975" spans="19:19" x14ac:dyDescent="0.2">
      <c r="S19975" s="10"/>
    </row>
    <row r="19996" spans="19:19" x14ac:dyDescent="0.2">
      <c r="S19996" s="10"/>
    </row>
    <row r="20011" spans="19:19" x14ac:dyDescent="0.2">
      <c r="S20011" s="10"/>
    </row>
    <row r="20015" spans="19:19" x14ac:dyDescent="0.2">
      <c r="S20015" s="10"/>
    </row>
    <row r="20019" spans="19:19" x14ac:dyDescent="0.2">
      <c r="S20019" s="10"/>
    </row>
    <row r="20020" spans="19:19" x14ac:dyDescent="0.2">
      <c r="S20020" s="10"/>
    </row>
    <row r="20026" spans="19:19" x14ac:dyDescent="0.2">
      <c r="S20026" s="10"/>
    </row>
    <row r="20044" spans="19:19" x14ac:dyDescent="0.2">
      <c r="S20044" s="10"/>
    </row>
    <row r="20050" spans="19:19" x14ac:dyDescent="0.2">
      <c r="S20050" s="10"/>
    </row>
    <row r="20060" spans="19:19" x14ac:dyDescent="0.2">
      <c r="S20060" s="10"/>
    </row>
    <row r="20072" spans="19:19" x14ac:dyDescent="0.2">
      <c r="S20072" s="10"/>
    </row>
    <row r="20073" spans="19:19" x14ac:dyDescent="0.2">
      <c r="S20073" s="10"/>
    </row>
    <row r="20074" spans="19:19" x14ac:dyDescent="0.2">
      <c r="S20074" s="10"/>
    </row>
    <row r="20075" spans="19:19" x14ac:dyDescent="0.2">
      <c r="S20075" s="10"/>
    </row>
    <row r="20076" spans="19:19" x14ac:dyDescent="0.2">
      <c r="S20076" s="10"/>
    </row>
    <row r="20077" spans="19:19" x14ac:dyDescent="0.2">
      <c r="S20077" s="10"/>
    </row>
    <row r="20078" spans="19:19" x14ac:dyDescent="0.2">
      <c r="S20078" s="10"/>
    </row>
    <row r="20079" spans="19:19" x14ac:dyDescent="0.2">
      <c r="S20079" s="10"/>
    </row>
    <row r="20080" spans="19:19" x14ac:dyDescent="0.2">
      <c r="S20080" s="10"/>
    </row>
    <row r="20081" spans="19:19" x14ac:dyDescent="0.2">
      <c r="S20081" s="10"/>
    </row>
    <row r="20084" spans="19:19" x14ac:dyDescent="0.2">
      <c r="S20084" s="10"/>
    </row>
    <row r="20085" spans="19:19" x14ac:dyDescent="0.2">
      <c r="S20085" s="10"/>
    </row>
    <row r="20086" spans="19:19" x14ac:dyDescent="0.2">
      <c r="S20086" s="10"/>
    </row>
    <row r="20087" spans="19:19" x14ac:dyDescent="0.2">
      <c r="S20087" s="10"/>
    </row>
    <row r="20088" spans="19:19" x14ac:dyDescent="0.2">
      <c r="S20088" s="10"/>
    </row>
    <row r="20091" spans="19:19" x14ac:dyDescent="0.2">
      <c r="S20091" s="10"/>
    </row>
    <row r="20092" spans="19:19" x14ac:dyDescent="0.2">
      <c r="S20092" s="10"/>
    </row>
    <row r="20093" spans="19:19" x14ac:dyDescent="0.2">
      <c r="S20093" s="10"/>
    </row>
    <row r="20094" spans="19:19" x14ac:dyDescent="0.2">
      <c r="S20094" s="10"/>
    </row>
    <row r="20095" spans="19:19" x14ac:dyDescent="0.2">
      <c r="S20095" s="10"/>
    </row>
    <row r="20096" spans="19:19" x14ac:dyDescent="0.2">
      <c r="S20096" s="10"/>
    </row>
    <row r="20097" spans="19:19" x14ac:dyDescent="0.2">
      <c r="S20097" s="10"/>
    </row>
    <row r="20098" spans="19:19" x14ac:dyDescent="0.2">
      <c r="S20098" s="10"/>
    </row>
    <row r="20099" spans="19:19" x14ac:dyDescent="0.2">
      <c r="S20099" s="10"/>
    </row>
    <row r="20100" spans="19:19" x14ac:dyDescent="0.2">
      <c r="S20100" s="10"/>
    </row>
    <row r="20103" spans="19:19" x14ac:dyDescent="0.2">
      <c r="S20103" s="10"/>
    </row>
    <row r="20104" spans="19:19" x14ac:dyDescent="0.2">
      <c r="S20104" s="10"/>
    </row>
    <row r="20105" spans="19:19" x14ac:dyDescent="0.2">
      <c r="S20105" s="10"/>
    </row>
    <row r="20106" spans="19:19" x14ac:dyDescent="0.2">
      <c r="S20106" s="10"/>
    </row>
    <row r="20107" spans="19:19" x14ac:dyDescent="0.2">
      <c r="S20107" s="10"/>
    </row>
    <row r="20108" spans="19:19" x14ac:dyDescent="0.2">
      <c r="S20108" s="10"/>
    </row>
    <row r="20109" spans="19:19" x14ac:dyDescent="0.2">
      <c r="S20109" s="10"/>
    </row>
    <row r="20110" spans="19:19" x14ac:dyDescent="0.2">
      <c r="S20110" s="10"/>
    </row>
    <row r="20113" spans="19:19" x14ac:dyDescent="0.2">
      <c r="S20113" s="10"/>
    </row>
    <row r="20114" spans="19:19" x14ac:dyDescent="0.2">
      <c r="S20114" s="10"/>
    </row>
    <row r="20115" spans="19:19" x14ac:dyDescent="0.2">
      <c r="S20115" s="10"/>
    </row>
    <row r="20117" spans="19:19" x14ac:dyDescent="0.2">
      <c r="S20117" s="10"/>
    </row>
    <row r="20118" spans="19:19" x14ac:dyDescent="0.2">
      <c r="S20118" s="10"/>
    </row>
    <row r="20119" spans="19:19" x14ac:dyDescent="0.2">
      <c r="S20119" s="10"/>
    </row>
    <row r="20120" spans="19:19" x14ac:dyDescent="0.2">
      <c r="S20120" s="10"/>
    </row>
    <row r="20121" spans="19:19" x14ac:dyDescent="0.2">
      <c r="S20121" s="10"/>
    </row>
    <row r="20124" spans="19:19" x14ac:dyDescent="0.2">
      <c r="S20124" s="10"/>
    </row>
    <row r="20125" spans="19:19" x14ac:dyDescent="0.2">
      <c r="S20125" s="10"/>
    </row>
    <row r="20126" spans="19:19" x14ac:dyDescent="0.2">
      <c r="S20126" s="10"/>
    </row>
    <row r="20127" spans="19:19" x14ac:dyDescent="0.2">
      <c r="S20127" s="10"/>
    </row>
    <row r="20128" spans="19:19" x14ac:dyDescent="0.2">
      <c r="S20128" s="10"/>
    </row>
    <row r="20129" spans="19:19" x14ac:dyDescent="0.2">
      <c r="S20129" s="10"/>
    </row>
    <row r="20130" spans="19:19" x14ac:dyDescent="0.2">
      <c r="S20130" s="10"/>
    </row>
    <row r="20131" spans="19:19" x14ac:dyDescent="0.2">
      <c r="S20131" s="10"/>
    </row>
    <row r="20132" spans="19:19" x14ac:dyDescent="0.2">
      <c r="S20132" s="10"/>
    </row>
    <row r="20136" spans="19:19" x14ac:dyDescent="0.2">
      <c r="S20136" s="10"/>
    </row>
    <row r="20137" spans="19:19" x14ac:dyDescent="0.2">
      <c r="S20137" s="10"/>
    </row>
    <row r="20138" spans="19:19" x14ac:dyDescent="0.2">
      <c r="S20138" s="10"/>
    </row>
    <row r="20139" spans="19:19" x14ac:dyDescent="0.2">
      <c r="S20139" s="10"/>
    </row>
    <row r="20140" spans="19:19" x14ac:dyDescent="0.2">
      <c r="S20140" s="10"/>
    </row>
    <row r="20141" spans="19:19" x14ac:dyDescent="0.2">
      <c r="S20141" s="10"/>
    </row>
    <row r="20142" spans="19:19" x14ac:dyDescent="0.2">
      <c r="S20142" s="10"/>
    </row>
    <row r="20143" spans="19:19" x14ac:dyDescent="0.2">
      <c r="S20143" s="10"/>
    </row>
    <row r="20144" spans="19:19" x14ac:dyDescent="0.2">
      <c r="S20144" s="10"/>
    </row>
    <row r="20145" spans="19:19" x14ac:dyDescent="0.2">
      <c r="S20145" s="10"/>
    </row>
    <row r="20146" spans="19:19" x14ac:dyDescent="0.2">
      <c r="S20146" s="10"/>
    </row>
    <row r="20147" spans="19:19" x14ac:dyDescent="0.2">
      <c r="S20147" s="10"/>
    </row>
    <row r="20148" spans="19:19" x14ac:dyDescent="0.2">
      <c r="S20148" s="10"/>
    </row>
    <row r="20149" spans="19:19" x14ac:dyDescent="0.2">
      <c r="S20149" s="10"/>
    </row>
    <row r="20150" spans="19:19" x14ac:dyDescent="0.2">
      <c r="S20150" s="10"/>
    </row>
    <row r="20151" spans="19:19" x14ac:dyDescent="0.2">
      <c r="S20151" s="10"/>
    </row>
    <row r="20152" spans="19:19" x14ac:dyDescent="0.2">
      <c r="S20152" s="10"/>
    </row>
    <row r="20155" spans="19:19" x14ac:dyDescent="0.2">
      <c r="S20155" s="10"/>
    </row>
    <row r="20156" spans="19:19" x14ac:dyDescent="0.2">
      <c r="S20156" s="10"/>
    </row>
    <row r="20159" spans="19:19" x14ac:dyDescent="0.2">
      <c r="S20159" s="10"/>
    </row>
    <row r="20160" spans="19:19" x14ac:dyDescent="0.2">
      <c r="S20160" s="10"/>
    </row>
    <row r="20161" spans="19:19" x14ac:dyDescent="0.2">
      <c r="S20161" s="10"/>
    </row>
    <row r="20163" spans="19:19" x14ac:dyDescent="0.2">
      <c r="S20163" s="10"/>
    </row>
    <row r="20165" spans="19:19" x14ac:dyDescent="0.2">
      <c r="S20165" s="10"/>
    </row>
    <row r="20167" spans="19:19" x14ac:dyDescent="0.2">
      <c r="S20167" s="10"/>
    </row>
    <row r="20191" spans="19:19" x14ac:dyDescent="0.2">
      <c r="S20191" s="10"/>
    </row>
    <row r="20192" spans="19:19" x14ac:dyDescent="0.2">
      <c r="S20192" s="10"/>
    </row>
    <row r="20193" spans="19:19" x14ac:dyDescent="0.2">
      <c r="S20193" s="10"/>
    </row>
    <row r="20195" spans="19:19" x14ac:dyDescent="0.2">
      <c r="S20195" s="10"/>
    </row>
    <row r="20198" spans="19:19" x14ac:dyDescent="0.2">
      <c r="S20198" s="10"/>
    </row>
    <row r="20199" spans="19:19" x14ac:dyDescent="0.2">
      <c r="S20199" s="10"/>
    </row>
    <row r="20204" spans="19:19" x14ac:dyDescent="0.2">
      <c r="S20204" s="10"/>
    </row>
    <row r="20209" spans="19:19" x14ac:dyDescent="0.2">
      <c r="S20209" s="10"/>
    </row>
    <row r="20212" spans="19:19" x14ac:dyDescent="0.2">
      <c r="S20212" s="10"/>
    </row>
    <row r="20213" spans="19:19" x14ac:dyDescent="0.2">
      <c r="S20213" s="10"/>
    </row>
    <row r="20214" spans="19:19" x14ac:dyDescent="0.2">
      <c r="S20214" s="10"/>
    </row>
    <row r="20215" spans="19:19" x14ac:dyDescent="0.2">
      <c r="S20215" s="10"/>
    </row>
    <row r="20216" spans="19:19" x14ac:dyDescent="0.2">
      <c r="S20216" s="10"/>
    </row>
    <row r="20219" spans="19:19" x14ac:dyDescent="0.2">
      <c r="S20219" s="10"/>
    </row>
    <row r="20220" spans="19:19" x14ac:dyDescent="0.2">
      <c r="S20220" s="10"/>
    </row>
    <row r="20221" spans="19:19" x14ac:dyDescent="0.2">
      <c r="S20221" s="10"/>
    </row>
    <row r="20222" spans="19:19" x14ac:dyDescent="0.2">
      <c r="S20222" s="10"/>
    </row>
    <row r="20223" spans="19:19" x14ac:dyDescent="0.2">
      <c r="S20223" s="10"/>
    </row>
    <row r="20224" spans="19:19" x14ac:dyDescent="0.2">
      <c r="S20224" s="10"/>
    </row>
    <row r="20225" spans="19:19" x14ac:dyDescent="0.2">
      <c r="S20225" s="10"/>
    </row>
    <row r="20226" spans="19:19" x14ac:dyDescent="0.2">
      <c r="S20226" s="10"/>
    </row>
    <row r="20227" spans="19:19" x14ac:dyDescent="0.2">
      <c r="S20227" s="10"/>
    </row>
    <row r="20228" spans="19:19" x14ac:dyDescent="0.2">
      <c r="S20228" s="10"/>
    </row>
    <row r="20229" spans="19:19" x14ac:dyDescent="0.2">
      <c r="S20229" s="10"/>
    </row>
    <row r="20230" spans="19:19" x14ac:dyDescent="0.2">
      <c r="S20230" s="10"/>
    </row>
    <row r="20231" spans="19:19" x14ac:dyDescent="0.2">
      <c r="S20231" s="10"/>
    </row>
    <row r="20249" spans="19:19" x14ac:dyDescent="0.2">
      <c r="S20249" s="10"/>
    </row>
    <row r="20303" spans="19:19" x14ac:dyDescent="0.2">
      <c r="S20303" s="10"/>
    </row>
    <row r="20430" spans="19:19" x14ac:dyDescent="0.2">
      <c r="S20430" s="10"/>
    </row>
    <row r="20432" spans="19:19" x14ac:dyDescent="0.2">
      <c r="S20432" s="10"/>
    </row>
    <row r="20443" spans="19:19" x14ac:dyDescent="0.2">
      <c r="S20443" s="10"/>
    </row>
    <row r="20451" spans="19:19" x14ac:dyDescent="0.2">
      <c r="S20451" s="10"/>
    </row>
    <row r="20452" spans="19:19" x14ac:dyDescent="0.2">
      <c r="S20452" s="10"/>
    </row>
    <row r="20453" spans="19:19" x14ac:dyDescent="0.2">
      <c r="S20453" s="10"/>
    </row>
    <row r="20454" spans="19:19" x14ac:dyDescent="0.2">
      <c r="S20454" s="10"/>
    </row>
    <row r="20455" spans="19:19" x14ac:dyDescent="0.2">
      <c r="S20455" s="10"/>
    </row>
    <row r="20456" spans="19:19" x14ac:dyDescent="0.2">
      <c r="S20456" s="10"/>
    </row>
    <row r="20457" spans="19:19" x14ac:dyDescent="0.2">
      <c r="S20457" s="10"/>
    </row>
    <row r="20458" spans="19:19" x14ac:dyDescent="0.2">
      <c r="S20458" s="10"/>
    </row>
    <row r="20459" spans="19:19" x14ac:dyDescent="0.2">
      <c r="S20459" s="10"/>
    </row>
    <row r="20460" spans="19:19" x14ac:dyDescent="0.2">
      <c r="S20460" s="10"/>
    </row>
    <row r="20461" spans="19:19" x14ac:dyDescent="0.2">
      <c r="S20461" s="10"/>
    </row>
    <row r="20462" spans="19:19" x14ac:dyDescent="0.2">
      <c r="S20462" s="10"/>
    </row>
    <row r="20463" spans="19:19" x14ac:dyDescent="0.2">
      <c r="S20463" s="10"/>
    </row>
    <row r="20464" spans="19:19" x14ac:dyDescent="0.2">
      <c r="S20464" s="10"/>
    </row>
    <row r="20465" spans="19:19" x14ac:dyDescent="0.2">
      <c r="S20465" s="10"/>
    </row>
    <row r="20468" spans="19:19" x14ac:dyDescent="0.2">
      <c r="S20468" s="10"/>
    </row>
    <row r="20469" spans="19:19" x14ac:dyDescent="0.2">
      <c r="S20469" s="10"/>
    </row>
    <row r="20470" spans="19:19" x14ac:dyDescent="0.2">
      <c r="S20470" s="10"/>
    </row>
    <row r="20473" spans="19:19" x14ac:dyDescent="0.2">
      <c r="S20473" s="10"/>
    </row>
    <row r="20474" spans="19:19" x14ac:dyDescent="0.2">
      <c r="S20474" s="10"/>
    </row>
    <row r="20475" spans="19:19" x14ac:dyDescent="0.2">
      <c r="S20475" s="10"/>
    </row>
    <row r="20476" spans="19:19" x14ac:dyDescent="0.2">
      <c r="S20476" s="10"/>
    </row>
    <row r="20477" spans="19:19" x14ac:dyDescent="0.2">
      <c r="S20477" s="10"/>
    </row>
    <row r="20478" spans="19:19" x14ac:dyDescent="0.2">
      <c r="S20478" s="10"/>
    </row>
    <row r="20479" spans="19:19" x14ac:dyDescent="0.2">
      <c r="S20479" s="10"/>
    </row>
    <row r="20484" spans="19:19" x14ac:dyDescent="0.2">
      <c r="S20484" s="10"/>
    </row>
    <row r="20485" spans="19:19" x14ac:dyDescent="0.2">
      <c r="S20485" s="10"/>
    </row>
    <row r="20486" spans="19:19" x14ac:dyDescent="0.2">
      <c r="S20486" s="10"/>
    </row>
    <row r="20487" spans="19:19" x14ac:dyDescent="0.2">
      <c r="S20487" s="10"/>
    </row>
    <row r="20488" spans="19:19" x14ac:dyDescent="0.2">
      <c r="S20488" s="10"/>
    </row>
    <row r="20489" spans="19:19" x14ac:dyDescent="0.2">
      <c r="S20489" s="10"/>
    </row>
    <row r="20490" spans="19:19" x14ac:dyDescent="0.2">
      <c r="S20490" s="10"/>
    </row>
    <row r="20491" spans="19:19" x14ac:dyDescent="0.2">
      <c r="S20491" s="10"/>
    </row>
    <row r="20492" spans="19:19" x14ac:dyDescent="0.2">
      <c r="S20492" s="10"/>
    </row>
    <row r="20493" spans="19:19" x14ac:dyDescent="0.2">
      <c r="S20493" s="10"/>
    </row>
    <row r="20494" spans="19:19" x14ac:dyDescent="0.2">
      <c r="S20494" s="10"/>
    </row>
    <row r="20495" spans="19:19" x14ac:dyDescent="0.2">
      <c r="S20495" s="10"/>
    </row>
    <row r="20496" spans="19:19" x14ac:dyDescent="0.2">
      <c r="S20496" s="10"/>
    </row>
    <row r="20497" spans="19:19" x14ac:dyDescent="0.2">
      <c r="S20497" s="10"/>
    </row>
    <row r="20498" spans="19:19" x14ac:dyDescent="0.2">
      <c r="S20498" s="10"/>
    </row>
    <row r="20499" spans="19:19" x14ac:dyDescent="0.2">
      <c r="S20499" s="10"/>
    </row>
    <row r="20500" spans="19:19" x14ac:dyDescent="0.2">
      <c r="S20500" s="10"/>
    </row>
    <row r="20505" spans="19:19" x14ac:dyDescent="0.2">
      <c r="S20505" s="10"/>
    </row>
    <row r="20506" spans="19:19" x14ac:dyDescent="0.2">
      <c r="S20506" s="10"/>
    </row>
    <row r="20507" spans="19:19" x14ac:dyDescent="0.2">
      <c r="S20507" s="10"/>
    </row>
    <row r="20508" spans="19:19" x14ac:dyDescent="0.2">
      <c r="S20508" s="10"/>
    </row>
    <row r="20509" spans="19:19" x14ac:dyDescent="0.2">
      <c r="S20509" s="10"/>
    </row>
    <row r="20510" spans="19:19" x14ac:dyDescent="0.2">
      <c r="S20510" s="10"/>
    </row>
    <row r="20511" spans="19:19" x14ac:dyDescent="0.2">
      <c r="S20511" s="10"/>
    </row>
    <row r="20512" spans="19:19" x14ac:dyDescent="0.2">
      <c r="S20512" s="10"/>
    </row>
    <row r="20513" spans="19:19" x14ac:dyDescent="0.2">
      <c r="S20513" s="10"/>
    </row>
    <row r="20544" spans="19:19" x14ac:dyDescent="0.2">
      <c r="S20544" s="10"/>
    </row>
    <row r="20548" spans="19:19" x14ac:dyDescent="0.2">
      <c r="S20548" s="10"/>
    </row>
    <row r="20550" spans="19:19" x14ac:dyDescent="0.2">
      <c r="S20550" s="10"/>
    </row>
    <row r="20552" spans="19:19" x14ac:dyDescent="0.2">
      <c r="S20552" s="10"/>
    </row>
    <row r="20554" spans="19:19" x14ac:dyDescent="0.2">
      <c r="S20554" s="10"/>
    </row>
    <row r="20555" spans="19:19" x14ac:dyDescent="0.2">
      <c r="S20555" s="10"/>
    </row>
    <row r="20558" spans="19:19" x14ac:dyDescent="0.2">
      <c r="S20558" s="10"/>
    </row>
    <row r="20559" spans="19:19" x14ac:dyDescent="0.2">
      <c r="S20559" s="10"/>
    </row>
    <row r="20560" spans="19:19" x14ac:dyDescent="0.2">
      <c r="S20560" s="10"/>
    </row>
    <row r="20561" spans="19:19" x14ac:dyDescent="0.2">
      <c r="S20561" s="10"/>
    </row>
    <row r="20562" spans="19:19" x14ac:dyDescent="0.2">
      <c r="S20562" s="10"/>
    </row>
    <row r="20563" spans="19:19" x14ac:dyDescent="0.2">
      <c r="S20563" s="10"/>
    </row>
    <row r="20564" spans="19:19" x14ac:dyDescent="0.2">
      <c r="S20564" s="10"/>
    </row>
    <row r="20572" spans="19:19" x14ac:dyDescent="0.2">
      <c r="S20572" s="10"/>
    </row>
    <row r="20597" spans="19:19" x14ac:dyDescent="0.2">
      <c r="S20597" s="10"/>
    </row>
    <row r="20599" spans="19:19" x14ac:dyDescent="0.2">
      <c r="S20599" s="10"/>
    </row>
    <row r="20602" spans="19:19" x14ac:dyDescent="0.2">
      <c r="S20602" s="10"/>
    </row>
    <row r="20603" spans="19:19" x14ac:dyDescent="0.2">
      <c r="S20603" s="10"/>
    </row>
    <row r="20604" spans="19:19" x14ac:dyDescent="0.2">
      <c r="S20604" s="10"/>
    </row>
    <row r="20605" spans="19:19" x14ac:dyDescent="0.2">
      <c r="S20605" s="10"/>
    </row>
    <row r="20608" spans="19:19" x14ac:dyDescent="0.2">
      <c r="S20608" s="10"/>
    </row>
    <row r="20609" spans="19:19" x14ac:dyDescent="0.2">
      <c r="S20609" s="10"/>
    </row>
    <row r="20612" spans="19:19" x14ac:dyDescent="0.2">
      <c r="S20612" s="10"/>
    </row>
    <row r="20615" spans="19:19" x14ac:dyDescent="0.2">
      <c r="S20615" s="10"/>
    </row>
    <row r="20618" spans="19:19" x14ac:dyDescent="0.2">
      <c r="S20618" s="10"/>
    </row>
    <row r="20619" spans="19:19" x14ac:dyDescent="0.2">
      <c r="S20619" s="10"/>
    </row>
    <row r="20624" spans="19:19" x14ac:dyDescent="0.2">
      <c r="S20624" s="10"/>
    </row>
    <row r="20625" spans="19:19" x14ac:dyDescent="0.2">
      <c r="S20625" s="10"/>
    </row>
    <row r="20631" spans="19:19" x14ac:dyDescent="0.2">
      <c r="S20631" s="10"/>
    </row>
    <row r="20636" spans="19:19" x14ac:dyDescent="0.2">
      <c r="S20636" s="10"/>
    </row>
    <row r="20639" spans="19:19" x14ac:dyDescent="0.2">
      <c r="S20639" s="10"/>
    </row>
    <row r="20640" spans="19:19" x14ac:dyDescent="0.2">
      <c r="S20640" s="10"/>
    </row>
    <row r="20641" spans="19:19" x14ac:dyDescent="0.2">
      <c r="S20641" s="10"/>
    </row>
    <row r="20642" spans="19:19" x14ac:dyDescent="0.2">
      <c r="S20642" s="10"/>
    </row>
    <row r="20645" spans="19:19" x14ac:dyDescent="0.2">
      <c r="S20645" s="10"/>
    </row>
    <row r="20646" spans="19:19" x14ac:dyDescent="0.2">
      <c r="S20646" s="10"/>
    </row>
    <row r="20648" spans="19:19" x14ac:dyDescent="0.2">
      <c r="S20648" s="10"/>
    </row>
    <row r="20651" spans="19:19" x14ac:dyDescent="0.2">
      <c r="S20651" s="10"/>
    </row>
    <row r="20653" spans="19:19" x14ac:dyDescent="0.2">
      <c r="S20653" s="10"/>
    </row>
    <row r="20654" spans="19:19" x14ac:dyDescent="0.2">
      <c r="S20654" s="10"/>
    </row>
    <row r="20659" spans="19:19" x14ac:dyDescent="0.2">
      <c r="S20659" s="10"/>
    </row>
    <row r="20664" spans="19:19" x14ac:dyDescent="0.2">
      <c r="S20664" s="10"/>
    </row>
    <row r="20665" spans="19:19" x14ac:dyDescent="0.2">
      <c r="S20665" s="10"/>
    </row>
    <row r="20668" spans="19:19" x14ac:dyDescent="0.2">
      <c r="S20668" s="10"/>
    </row>
    <row r="20670" spans="19:19" x14ac:dyDescent="0.2">
      <c r="S20670" s="10"/>
    </row>
    <row r="20675" spans="19:19" x14ac:dyDescent="0.2">
      <c r="S20675" s="10"/>
    </row>
    <row r="20677" spans="19:19" x14ac:dyDescent="0.2">
      <c r="S20677" s="10"/>
    </row>
    <row r="20681" spans="19:19" x14ac:dyDescent="0.2">
      <c r="S20681" s="10"/>
    </row>
    <row r="20684" spans="19:19" x14ac:dyDescent="0.2">
      <c r="S20684" s="10"/>
    </row>
    <row r="20685" spans="19:19" x14ac:dyDescent="0.2">
      <c r="S20685" s="10"/>
    </row>
    <row r="20688" spans="19:19" x14ac:dyDescent="0.2">
      <c r="S20688" s="10"/>
    </row>
    <row r="20689" spans="19:19" x14ac:dyDescent="0.2">
      <c r="S20689" s="10"/>
    </row>
    <row r="20690" spans="19:19" x14ac:dyDescent="0.2">
      <c r="S20690" s="10"/>
    </row>
    <row r="20693" spans="19:19" x14ac:dyDescent="0.2">
      <c r="S20693" s="10"/>
    </row>
    <row r="20694" spans="19:19" x14ac:dyDescent="0.2">
      <c r="S20694" s="10"/>
    </row>
    <row r="20695" spans="19:19" x14ac:dyDescent="0.2">
      <c r="S20695" s="10"/>
    </row>
    <row r="20698" spans="19:19" x14ac:dyDescent="0.2">
      <c r="S20698" s="10"/>
    </row>
    <row r="20699" spans="19:19" x14ac:dyDescent="0.2">
      <c r="S20699" s="10"/>
    </row>
    <row r="20700" spans="19:19" x14ac:dyDescent="0.2">
      <c r="S20700" s="10"/>
    </row>
    <row r="20701" spans="19:19" x14ac:dyDescent="0.2">
      <c r="S20701" s="10"/>
    </row>
    <row r="20702" spans="19:19" x14ac:dyDescent="0.2">
      <c r="S20702" s="10"/>
    </row>
    <row r="20703" spans="19:19" x14ac:dyDescent="0.2">
      <c r="S20703" s="10"/>
    </row>
    <row r="20707" spans="19:19" x14ac:dyDescent="0.2">
      <c r="S20707" s="10"/>
    </row>
    <row r="20708" spans="19:19" x14ac:dyDescent="0.2">
      <c r="S20708" s="10"/>
    </row>
    <row r="20711" spans="19:19" x14ac:dyDescent="0.2">
      <c r="S20711" s="10"/>
    </row>
    <row r="20712" spans="19:19" x14ac:dyDescent="0.2">
      <c r="S20712" s="10"/>
    </row>
    <row r="20713" spans="19:19" x14ac:dyDescent="0.2">
      <c r="S20713" s="10"/>
    </row>
    <row r="20714" spans="19:19" x14ac:dyDescent="0.2">
      <c r="S20714" s="10"/>
    </row>
    <row r="20715" spans="19:19" x14ac:dyDescent="0.2">
      <c r="S20715" s="10"/>
    </row>
    <row r="20716" spans="19:19" x14ac:dyDescent="0.2">
      <c r="S20716" s="10"/>
    </row>
    <row r="20717" spans="19:19" x14ac:dyDescent="0.2">
      <c r="S20717" s="10"/>
    </row>
    <row r="20718" spans="19:19" x14ac:dyDescent="0.2">
      <c r="S20718" s="10"/>
    </row>
    <row r="20719" spans="19:19" x14ac:dyDescent="0.2">
      <c r="S20719" s="10"/>
    </row>
    <row r="20720" spans="19:19" x14ac:dyDescent="0.2">
      <c r="S20720" s="10"/>
    </row>
    <row r="20721" spans="19:19" x14ac:dyDescent="0.2">
      <c r="S20721" s="10"/>
    </row>
    <row r="20722" spans="19:19" x14ac:dyDescent="0.2">
      <c r="S20722" s="10"/>
    </row>
    <row r="20723" spans="19:19" x14ac:dyDescent="0.2">
      <c r="S20723" s="10"/>
    </row>
    <row r="20724" spans="19:19" x14ac:dyDescent="0.2">
      <c r="S20724" s="10"/>
    </row>
    <row r="20725" spans="19:19" x14ac:dyDescent="0.2">
      <c r="S20725" s="10"/>
    </row>
    <row r="20740" spans="19:19" x14ac:dyDescent="0.2">
      <c r="S20740" s="10"/>
    </row>
    <row r="20742" spans="19:19" x14ac:dyDescent="0.2">
      <c r="S20742" s="10"/>
    </row>
    <row r="20746" spans="19:19" x14ac:dyDescent="0.2">
      <c r="S20746" s="10"/>
    </row>
    <row r="20747" spans="19:19" x14ac:dyDescent="0.2">
      <c r="S20747" s="10"/>
    </row>
    <row r="20751" spans="19:19" x14ac:dyDescent="0.2">
      <c r="S20751" s="10"/>
    </row>
    <row r="20752" spans="19:19" x14ac:dyDescent="0.2">
      <c r="S20752" s="10"/>
    </row>
    <row r="20753" spans="19:19" x14ac:dyDescent="0.2">
      <c r="S20753" s="10"/>
    </row>
    <row r="20755" spans="19:19" x14ac:dyDescent="0.2">
      <c r="S20755" s="10"/>
    </row>
    <row r="20758" spans="19:19" x14ac:dyDescent="0.2">
      <c r="S20758" s="10"/>
    </row>
    <row r="20760" spans="19:19" x14ac:dyDescent="0.2">
      <c r="S20760" s="10"/>
    </row>
    <row r="20765" spans="19:19" x14ac:dyDescent="0.2">
      <c r="S20765" s="10"/>
    </row>
    <row r="20766" spans="19:19" x14ac:dyDescent="0.2">
      <c r="S20766" s="10"/>
    </row>
    <row r="20769" spans="19:19" x14ac:dyDescent="0.2">
      <c r="S20769" s="10"/>
    </row>
    <row r="20770" spans="19:19" x14ac:dyDescent="0.2">
      <c r="S20770" s="10"/>
    </row>
    <row r="20773" spans="19:19" x14ac:dyDescent="0.2">
      <c r="S20773" s="10"/>
    </row>
    <row r="20774" spans="19:19" x14ac:dyDescent="0.2">
      <c r="S20774" s="10"/>
    </row>
    <row r="20775" spans="19:19" x14ac:dyDescent="0.2">
      <c r="S20775" s="10"/>
    </row>
    <row r="20776" spans="19:19" x14ac:dyDescent="0.2">
      <c r="S20776" s="10"/>
    </row>
    <row r="20777" spans="19:19" x14ac:dyDescent="0.2">
      <c r="S20777" s="10"/>
    </row>
    <row r="20778" spans="19:19" x14ac:dyDescent="0.2">
      <c r="S20778" s="10"/>
    </row>
    <row r="20779" spans="19:19" x14ac:dyDescent="0.2">
      <c r="S20779" s="10"/>
    </row>
    <row r="20780" spans="19:19" x14ac:dyDescent="0.2">
      <c r="S20780" s="10"/>
    </row>
    <row r="20781" spans="19:19" x14ac:dyDescent="0.2">
      <c r="S20781" s="10"/>
    </row>
    <row r="20782" spans="19:19" x14ac:dyDescent="0.2">
      <c r="S20782" s="10"/>
    </row>
    <row r="20783" spans="19:19" x14ac:dyDescent="0.2">
      <c r="S20783" s="10"/>
    </row>
    <row r="20784" spans="19:19" x14ac:dyDescent="0.2">
      <c r="S20784" s="10"/>
    </row>
    <row r="20786" spans="19:19" x14ac:dyDescent="0.2">
      <c r="S20786" s="10"/>
    </row>
    <row r="20787" spans="19:19" x14ac:dyDescent="0.2">
      <c r="S20787" s="10"/>
    </row>
    <row r="20788" spans="19:19" x14ac:dyDescent="0.2">
      <c r="S20788" s="10"/>
    </row>
    <row r="20789" spans="19:19" x14ac:dyDescent="0.2">
      <c r="S20789" s="10"/>
    </row>
    <row r="20790" spans="19:19" x14ac:dyDescent="0.2">
      <c r="S20790" s="10"/>
    </row>
    <row r="20791" spans="19:19" x14ac:dyDescent="0.2">
      <c r="S20791" s="10"/>
    </row>
    <row r="20794" spans="19:19" x14ac:dyDescent="0.2">
      <c r="S20794" s="10"/>
    </row>
    <row r="20796" spans="19:19" x14ac:dyDescent="0.2">
      <c r="S20796" s="10"/>
    </row>
    <row r="20797" spans="19:19" x14ac:dyDescent="0.2">
      <c r="S20797" s="10"/>
    </row>
    <row r="20798" spans="19:19" x14ac:dyDescent="0.2">
      <c r="S20798" s="10"/>
    </row>
    <row r="20800" spans="19:19" x14ac:dyDescent="0.2">
      <c r="S20800" s="10"/>
    </row>
    <row r="20801" spans="19:19" x14ac:dyDescent="0.2">
      <c r="S20801" s="10"/>
    </row>
    <row r="20802" spans="19:19" x14ac:dyDescent="0.2">
      <c r="S20802" s="10"/>
    </row>
    <row r="20803" spans="19:19" x14ac:dyDescent="0.2">
      <c r="S20803" s="10"/>
    </row>
    <row r="20804" spans="19:19" x14ac:dyDescent="0.2">
      <c r="S20804" s="10"/>
    </row>
    <row r="20805" spans="19:19" x14ac:dyDescent="0.2">
      <c r="S20805" s="10"/>
    </row>
    <row r="20806" spans="19:19" x14ac:dyDescent="0.2">
      <c r="S20806" s="10"/>
    </row>
    <row r="20807" spans="19:19" x14ac:dyDescent="0.2">
      <c r="S20807" s="10"/>
    </row>
    <row r="20808" spans="19:19" x14ac:dyDescent="0.2">
      <c r="S20808" s="10"/>
    </row>
    <row r="20809" spans="19:19" x14ac:dyDescent="0.2">
      <c r="S20809" s="10"/>
    </row>
    <row r="20811" spans="19:19" x14ac:dyDescent="0.2">
      <c r="S20811" s="10"/>
    </row>
    <row r="20814" spans="19:19" x14ac:dyDescent="0.2">
      <c r="S20814" s="10"/>
    </row>
    <row r="20815" spans="19:19" x14ac:dyDescent="0.2">
      <c r="S20815" s="10"/>
    </row>
    <row r="20818" spans="19:19" x14ac:dyDescent="0.2">
      <c r="S20818" s="10"/>
    </row>
    <row r="20819" spans="19:19" x14ac:dyDescent="0.2">
      <c r="S20819" s="10"/>
    </row>
    <row r="20820" spans="19:19" x14ac:dyDescent="0.2">
      <c r="S20820" s="10"/>
    </row>
    <row r="20823" spans="19:19" x14ac:dyDescent="0.2">
      <c r="S20823" s="10"/>
    </row>
    <row r="20824" spans="19:19" x14ac:dyDescent="0.2">
      <c r="S20824" s="10"/>
    </row>
    <row r="20825" spans="19:19" x14ac:dyDescent="0.2">
      <c r="S20825" s="10"/>
    </row>
    <row r="20828" spans="19:19" x14ac:dyDescent="0.2">
      <c r="S20828" s="10"/>
    </row>
    <row r="20829" spans="19:19" x14ac:dyDescent="0.2">
      <c r="S20829" s="10"/>
    </row>
    <row r="20832" spans="19:19" x14ac:dyDescent="0.2">
      <c r="S20832" s="10"/>
    </row>
    <row r="20833" spans="19:19" x14ac:dyDescent="0.2">
      <c r="S20833" s="10"/>
    </row>
    <row r="20834" spans="19:19" x14ac:dyDescent="0.2">
      <c r="S20834" s="10"/>
    </row>
    <row r="20837" spans="19:19" x14ac:dyDescent="0.2">
      <c r="S20837" s="10"/>
    </row>
    <row r="20838" spans="19:19" x14ac:dyDescent="0.2">
      <c r="S20838" s="10"/>
    </row>
    <row r="20841" spans="19:19" x14ac:dyDescent="0.2">
      <c r="S20841" s="10"/>
    </row>
    <row r="20842" spans="19:19" x14ac:dyDescent="0.2">
      <c r="S20842" s="10"/>
    </row>
    <row r="20843" spans="19:19" x14ac:dyDescent="0.2">
      <c r="S20843" s="10"/>
    </row>
    <row r="20844" spans="19:19" x14ac:dyDescent="0.2">
      <c r="S20844" s="10"/>
    </row>
    <row r="20846" spans="19:19" x14ac:dyDescent="0.2">
      <c r="S20846" s="10"/>
    </row>
    <row r="20847" spans="19:19" x14ac:dyDescent="0.2">
      <c r="S20847" s="10"/>
    </row>
    <row r="20850" spans="19:19" x14ac:dyDescent="0.2">
      <c r="S20850" s="10"/>
    </row>
    <row r="20851" spans="19:19" x14ac:dyDescent="0.2">
      <c r="S20851" s="10"/>
    </row>
    <row r="20852" spans="19:19" x14ac:dyDescent="0.2">
      <c r="S20852" s="10"/>
    </row>
    <row r="20855" spans="19:19" x14ac:dyDescent="0.2">
      <c r="S20855" s="10"/>
    </row>
    <row r="20858" spans="19:19" x14ac:dyDescent="0.2">
      <c r="S20858" s="10"/>
    </row>
    <row r="20862" spans="19:19" x14ac:dyDescent="0.2">
      <c r="S20862" s="10"/>
    </row>
    <row r="20863" spans="19:19" x14ac:dyDescent="0.2">
      <c r="S20863" s="10"/>
    </row>
    <row r="20865" spans="19:19" x14ac:dyDescent="0.2">
      <c r="S20865" s="10"/>
    </row>
    <row r="20866" spans="19:19" x14ac:dyDescent="0.2">
      <c r="S20866" s="10"/>
    </row>
    <row r="20868" spans="19:19" x14ac:dyDescent="0.2">
      <c r="S20868" s="10"/>
    </row>
    <row r="20869" spans="19:19" x14ac:dyDescent="0.2">
      <c r="S20869" s="10"/>
    </row>
    <row r="20870" spans="19:19" x14ac:dyDescent="0.2">
      <c r="S20870" s="10"/>
    </row>
    <row r="20871" spans="19:19" x14ac:dyDescent="0.2">
      <c r="S20871" s="10"/>
    </row>
    <row r="20872" spans="19:19" x14ac:dyDescent="0.2">
      <c r="S20872" s="10"/>
    </row>
    <row r="20873" spans="19:19" x14ac:dyDescent="0.2">
      <c r="S20873" s="10"/>
    </row>
    <row r="20874" spans="19:19" x14ac:dyDescent="0.2">
      <c r="S20874" s="10"/>
    </row>
    <row r="20875" spans="19:19" x14ac:dyDescent="0.2">
      <c r="S20875" s="10"/>
    </row>
    <row r="20876" spans="19:19" x14ac:dyDescent="0.2">
      <c r="S20876" s="10"/>
    </row>
    <row r="20877" spans="19:19" x14ac:dyDescent="0.2">
      <c r="S20877" s="10"/>
    </row>
    <row r="20883" spans="19:19" x14ac:dyDescent="0.2">
      <c r="S20883" s="10"/>
    </row>
    <row r="20887" spans="19:19" x14ac:dyDescent="0.2">
      <c r="S20887" s="10"/>
    </row>
    <row r="20906" spans="19:19" x14ac:dyDescent="0.2">
      <c r="S20906" s="10"/>
    </row>
    <row r="20912" spans="19:19" x14ac:dyDescent="0.2">
      <c r="S20912" s="10"/>
    </row>
    <row r="20919" spans="19:19" x14ac:dyDescent="0.2">
      <c r="S20919" s="10"/>
    </row>
    <row r="20929" spans="19:19" x14ac:dyDescent="0.2">
      <c r="S20929" s="10"/>
    </row>
    <row r="20933" spans="19:19" x14ac:dyDescent="0.2">
      <c r="S20933" s="10"/>
    </row>
    <row r="20937" spans="19:19" x14ac:dyDescent="0.2">
      <c r="S20937" s="10"/>
    </row>
    <row r="20939" spans="19:19" x14ac:dyDescent="0.2">
      <c r="S20939" s="10"/>
    </row>
    <row r="20940" spans="19:19" x14ac:dyDescent="0.2">
      <c r="S20940" s="10"/>
    </row>
    <row r="20941" spans="19:19" x14ac:dyDescent="0.2">
      <c r="S20941" s="10"/>
    </row>
    <row r="20942" spans="19:19" x14ac:dyDescent="0.2">
      <c r="S20942" s="10"/>
    </row>
    <row r="20943" spans="19:19" x14ac:dyDescent="0.2">
      <c r="S20943" s="10"/>
    </row>
    <row r="20944" spans="19:19" x14ac:dyDescent="0.2">
      <c r="S20944" s="10"/>
    </row>
    <row r="20945" spans="19:19" x14ac:dyDescent="0.2">
      <c r="S20945" s="10"/>
    </row>
    <row r="20946" spans="19:19" x14ac:dyDescent="0.2">
      <c r="S20946" s="10"/>
    </row>
    <row r="20947" spans="19:19" x14ac:dyDescent="0.2">
      <c r="S20947" s="10"/>
    </row>
    <row r="20948" spans="19:19" x14ac:dyDescent="0.2">
      <c r="S20948" s="10"/>
    </row>
    <row r="20949" spans="19:19" x14ac:dyDescent="0.2">
      <c r="S20949" s="10"/>
    </row>
    <row r="20951" spans="19:19" x14ac:dyDescent="0.2">
      <c r="S20951" s="10"/>
    </row>
    <row r="20954" spans="19:19" x14ac:dyDescent="0.2">
      <c r="S20954" s="10"/>
    </row>
    <row r="20955" spans="19:19" x14ac:dyDescent="0.2">
      <c r="S20955" s="10"/>
    </row>
    <row r="20956" spans="19:19" x14ac:dyDescent="0.2">
      <c r="S20956" s="10"/>
    </row>
    <row r="20959" spans="19:19" x14ac:dyDescent="0.2">
      <c r="S20959" s="10"/>
    </row>
    <row r="20960" spans="19:19" x14ac:dyDescent="0.2">
      <c r="S20960" s="10"/>
    </row>
    <row r="20961" spans="19:19" x14ac:dyDescent="0.2">
      <c r="S20961" s="10"/>
    </row>
    <row r="20964" spans="19:19" x14ac:dyDescent="0.2">
      <c r="S20964" s="10"/>
    </row>
    <row r="20965" spans="19:19" x14ac:dyDescent="0.2">
      <c r="S20965" s="10"/>
    </row>
    <row r="20966" spans="19:19" x14ac:dyDescent="0.2">
      <c r="S20966" s="10"/>
    </row>
    <row r="20969" spans="19:19" x14ac:dyDescent="0.2">
      <c r="S20969" s="10"/>
    </row>
    <row r="20970" spans="19:19" x14ac:dyDescent="0.2">
      <c r="S20970" s="10"/>
    </row>
    <row r="20971" spans="19:19" x14ac:dyDescent="0.2">
      <c r="S20971" s="10"/>
    </row>
    <row r="20972" spans="19:19" x14ac:dyDescent="0.2">
      <c r="S20972" s="10"/>
    </row>
    <row r="20973" spans="19:19" x14ac:dyDescent="0.2">
      <c r="S20973" s="10"/>
    </row>
    <row r="20982" spans="19:19" x14ac:dyDescent="0.2">
      <c r="S20982" s="10"/>
    </row>
    <row r="20983" spans="19:19" x14ac:dyDescent="0.2">
      <c r="S20983" s="10"/>
    </row>
    <row r="20984" spans="19:19" x14ac:dyDescent="0.2">
      <c r="S20984" s="10"/>
    </row>
    <row r="20985" spans="19:19" x14ac:dyDescent="0.2">
      <c r="S20985" s="10"/>
    </row>
    <row r="20986" spans="19:19" x14ac:dyDescent="0.2">
      <c r="S20986" s="10"/>
    </row>
    <row r="20987" spans="19:19" x14ac:dyDescent="0.2">
      <c r="S20987" s="10"/>
    </row>
    <row r="20990" spans="19:19" x14ac:dyDescent="0.2">
      <c r="S20990" s="10"/>
    </row>
    <row r="20991" spans="19:19" x14ac:dyDescent="0.2">
      <c r="S20991" s="10"/>
    </row>
    <row r="20992" spans="19:19" x14ac:dyDescent="0.2">
      <c r="S20992" s="10"/>
    </row>
    <row r="20993" spans="19:19" x14ac:dyDescent="0.2">
      <c r="S20993" s="10"/>
    </row>
    <row r="20994" spans="19:19" x14ac:dyDescent="0.2">
      <c r="S20994" s="10"/>
    </row>
    <row r="20995" spans="19:19" x14ac:dyDescent="0.2">
      <c r="S20995" s="10"/>
    </row>
    <row r="20996" spans="19:19" x14ac:dyDescent="0.2">
      <c r="S20996" s="10"/>
    </row>
    <row r="20997" spans="19:19" x14ac:dyDescent="0.2">
      <c r="S20997" s="10"/>
    </row>
    <row r="20998" spans="19:19" x14ac:dyDescent="0.2">
      <c r="S20998" s="10"/>
    </row>
    <row r="20999" spans="19:19" x14ac:dyDescent="0.2">
      <c r="S20999" s="10"/>
    </row>
    <row r="21000" spans="19:19" x14ac:dyDescent="0.2">
      <c r="S21000" s="10"/>
    </row>
    <row r="21001" spans="19:19" x14ac:dyDescent="0.2">
      <c r="S21001" s="10"/>
    </row>
    <row r="21002" spans="19:19" x14ac:dyDescent="0.2">
      <c r="S21002" s="10"/>
    </row>
    <row r="21003" spans="19:19" x14ac:dyDescent="0.2">
      <c r="S21003" s="10"/>
    </row>
    <row r="21004" spans="19:19" x14ac:dyDescent="0.2">
      <c r="S21004" s="10"/>
    </row>
    <row r="21005" spans="19:19" x14ac:dyDescent="0.2">
      <c r="S21005" s="10"/>
    </row>
    <row r="21006" spans="19:19" x14ac:dyDescent="0.2">
      <c r="S21006" s="10"/>
    </row>
    <row r="21007" spans="19:19" x14ac:dyDescent="0.2">
      <c r="S21007" s="10"/>
    </row>
    <row r="21008" spans="19:19" x14ac:dyDescent="0.2">
      <c r="S21008" s="10"/>
    </row>
    <row r="21024" spans="19:19" x14ac:dyDescent="0.2">
      <c r="S21024" s="10"/>
    </row>
    <row r="21027" spans="19:19" x14ac:dyDescent="0.2">
      <c r="S21027" s="10"/>
    </row>
    <row r="21032" spans="19:19" x14ac:dyDescent="0.2">
      <c r="S21032" s="10"/>
    </row>
    <row r="21042" spans="19:19" x14ac:dyDescent="0.2">
      <c r="S21042" s="10"/>
    </row>
    <row r="21049" spans="19:19" x14ac:dyDescent="0.2">
      <c r="S21049" s="10"/>
    </row>
    <row r="21061" spans="19:19" x14ac:dyDescent="0.2">
      <c r="S21061" s="10"/>
    </row>
    <row r="21062" spans="19:19" x14ac:dyDescent="0.2">
      <c r="S21062" s="10"/>
    </row>
    <row r="21071" spans="19:19" x14ac:dyDescent="0.2">
      <c r="S21071" s="10"/>
    </row>
    <row r="21073" spans="19:19" x14ac:dyDescent="0.2">
      <c r="S21073" s="10"/>
    </row>
    <row r="21098" spans="19:19" x14ac:dyDescent="0.2">
      <c r="S21098" s="10"/>
    </row>
    <row r="21099" spans="19:19" x14ac:dyDescent="0.2">
      <c r="S21099" s="10"/>
    </row>
    <row r="21102" spans="19:19" x14ac:dyDescent="0.2">
      <c r="S21102" s="10"/>
    </row>
    <row r="21111" spans="19:19" x14ac:dyDescent="0.2">
      <c r="S21111" s="10"/>
    </row>
    <row r="21113" spans="19:19" x14ac:dyDescent="0.2">
      <c r="S21113" s="10"/>
    </row>
    <row r="21114" spans="19:19" x14ac:dyDescent="0.2">
      <c r="S21114" s="10"/>
    </row>
    <row r="21115" spans="19:19" x14ac:dyDescent="0.2">
      <c r="S21115" s="10"/>
    </row>
    <row r="21116" spans="19:19" x14ac:dyDescent="0.2">
      <c r="S21116" s="10"/>
    </row>
    <row r="21117" spans="19:19" x14ac:dyDescent="0.2">
      <c r="S21117" s="10"/>
    </row>
    <row r="21118" spans="19:19" x14ac:dyDescent="0.2">
      <c r="S21118" s="10"/>
    </row>
    <row r="21119" spans="19:19" x14ac:dyDescent="0.2">
      <c r="S21119" s="10"/>
    </row>
    <row r="21120" spans="19:19" x14ac:dyDescent="0.2">
      <c r="S21120" s="10"/>
    </row>
    <row r="21121" spans="19:19" x14ac:dyDescent="0.2">
      <c r="S21121" s="10"/>
    </row>
    <row r="21122" spans="19:19" x14ac:dyDescent="0.2">
      <c r="S21122" s="10"/>
    </row>
    <row r="21123" spans="19:19" x14ac:dyDescent="0.2">
      <c r="S21123" s="10"/>
    </row>
    <row r="21124" spans="19:19" x14ac:dyDescent="0.2">
      <c r="S21124" s="10"/>
    </row>
    <row r="21125" spans="19:19" x14ac:dyDescent="0.2">
      <c r="S21125" s="10"/>
    </row>
    <row r="21126" spans="19:19" x14ac:dyDescent="0.2">
      <c r="S21126" s="10"/>
    </row>
    <row r="21127" spans="19:19" x14ac:dyDescent="0.2">
      <c r="S21127" s="10"/>
    </row>
    <row r="21128" spans="19:19" x14ac:dyDescent="0.2">
      <c r="S21128" s="10"/>
    </row>
    <row r="21129" spans="19:19" x14ac:dyDescent="0.2">
      <c r="S21129" s="10"/>
    </row>
    <row r="21130" spans="19:19" x14ac:dyDescent="0.2">
      <c r="S21130" s="10"/>
    </row>
    <row r="21131" spans="19:19" x14ac:dyDescent="0.2">
      <c r="S21131" s="10"/>
    </row>
    <row r="21132" spans="19:19" x14ac:dyDescent="0.2">
      <c r="S21132" s="10"/>
    </row>
    <row r="21133" spans="19:19" x14ac:dyDescent="0.2">
      <c r="S21133" s="10"/>
    </row>
    <row r="21134" spans="19:19" x14ac:dyDescent="0.2">
      <c r="S21134" s="10"/>
    </row>
    <row r="21155" spans="19:19" x14ac:dyDescent="0.2">
      <c r="S21155" s="10"/>
    </row>
    <row r="21159" spans="19:19" x14ac:dyDescent="0.2">
      <c r="S21159" s="10"/>
    </row>
    <row r="21160" spans="19:19" x14ac:dyDescent="0.2">
      <c r="S21160" s="10"/>
    </row>
    <row r="21161" spans="19:19" x14ac:dyDescent="0.2">
      <c r="S21161" s="10"/>
    </row>
    <row r="21166" spans="19:19" x14ac:dyDescent="0.2">
      <c r="S21166" s="10"/>
    </row>
    <row r="21167" spans="19:19" x14ac:dyDescent="0.2">
      <c r="S21167" s="10"/>
    </row>
    <row r="21168" spans="19:19" x14ac:dyDescent="0.2">
      <c r="S21168" s="10"/>
    </row>
    <row r="21169" spans="19:19" x14ac:dyDescent="0.2">
      <c r="S21169" s="10"/>
    </row>
    <row r="21170" spans="19:19" x14ac:dyDescent="0.2">
      <c r="S21170" s="10"/>
    </row>
    <row r="21173" spans="19:19" x14ac:dyDescent="0.2">
      <c r="S21173" s="10"/>
    </row>
    <row r="21174" spans="19:19" x14ac:dyDescent="0.2">
      <c r="S21174" s="10"/>
    </row>
    <row r="21177" spans="19:19" x14ac:dyDescent="0.2">
      <c r="S21177" s="10"/>
    </row>
    <row r="21180" spans="19:19" x14ac:dyDescent="0.2">
      <c r="S21180" s="10"/>
    </row>
    <row r="21181" spans="19:19" x14ac:dyDescent="0.2">
      <c r="S21181" s="10"/>
    </row>
    <row r="21182" spans="19:19" x14ac:dyDescent="0.2">
      <c r="S21182" s="10"/>
    </row>
    <row r="21183" spans="19:19" x14ac:dyDescent="0.2">
      <c r="S21183" s="10"/>
    </row>
    <row r="21184" spans="19:19" x14ac:dyDescent="0.2">
      <c r="S21184" s="10"/>
    </row>
    <row r="21188" spans="19:19" x14ac:dyDescent="0.2">
      <c r="S21188" s="10"/>
    </row>
    <row r="21189" spans="19:19" x14ac:dyDescent="0.2">
      <c r="S21189" s="10"/>
    </row>
    <row r="21190" spans="19:19" x14ac:dyDescent="0.2">
      <c r="S21190" s="10"/>
    </row>
    <row r="21191" spans="19:19" x14ac:dyDescent="0.2">
      <c r="S21191" s="10"/>
    </row>
    <row r="21197" spans="19:19" x14ac:dyDescent="0.2">
      <c r="S21197" s="10"/>
    </row>
    <row r="21199" spans="19:19" x14ac:dyDescent="0.2">
      <c r="S21199" s="10"/>
    </row>
    <row r="21234" spans="19:19" x14ac:dyDescent="0.2">
      <c r="S21234" s="10"/>
    </row>
    <row r="21238" spans="19:19" x14ac:dyDescent="0.2">
      <c r="S21238" s="10"/>
    </row>
    <row r="21242" spans="19:19" x14ac:dyDescent="0.2">
      <c r="S21242" s="10"/>
    </row>
    <row r="21251" spans="19:19" x14ac:dyDescent="0.2">
      <c r="S21251" s="10"/>
    </row>
    <row r="21253" spans="19:19" x14ac:dyDescent="0.2">
      <c r="S21253" s="10"/>
    </row>
    <row r="21254" spans="19:19" x14ac:dyDescent="0.2">
      <c r="S21254" s="10"/>
    </row>
    <row r="21257" spans="19:19" x14ac:dyDescent="0.2">
      <c r="S21257" s="10"/>
    </row>
    <row r="21258" spans="19:19" x14ac:dyDescent="0.2">
      <c r="S21258" s="10"/>
    </row>
    <row r="21259" spans="19:19" x14ac:dyDescent="0.2">
      <c r="S21259" s="10"/>
    </row>
    <row r="21260" spans="19:19" x14ac:dyDescent="0.2">
      <c r="S21260" s="10"/>
    </row>
    <row r="21261" spans="19:19" x14ac:dyDescent="0.2">
      <c r="S21261" s="10"/>
    </row>
    <row r="21262" spans="19:19" x14ac:dyDescent="0.2">
      <c r="S21262" s="10"/>
    </row>
    <row r="21263" spans="19:19" x14ac:dyDescent="0.2">
      <c r="S21263" s="10"/>
    </row>
    <row r="21264" spans="19:19" x14ac:dyDescent="0.2">
      <c r="S21264" s="10"/>
    </row>
    <row r="21265" spans="19:19" x14ac:dyDescent="0.2">
      <c r="S21265" s="10"/>
    </row>
    <row r="21266" spans="19:19" x14ac:dyDescent="0.2">
      <c r="S21266" s="10"/>
    </row>
    <row r="21267" spans="19:19" x14ac:dyDescent="0.2">
      <c r="S21267" s="10"/>
    </row>
    <row r="21268" spans="19:19" x14ac:dyDescent="0.2">
      <c r="S21268" s="10"/>
    </row>
    <row r="21269" spans="19:19" x14ac:dyDescent="0.2">
      <c r="S21269" s="10"/>
    </row>
    <row r="21275" spans="19:19" x14ac:dyDescent="0.2">
      <c r="S21275" s="10"/>
    </row>
    <row r="21277" spans="19:19" x14ac:dyDescent="0.2">
      <c r="S21277" s="10"/>
    </row>
    <row r="21364" spans="19:19" x14ac:dyDescent="0.2">
      <c r="S21364" s="10"/>
    </row>
    <row r="21370" spans="19:19" x14ac:dyDescent="0.2">
      <c r="S21370" s="10"/>
    </row>
    <row r="21402" spans="19:19" x14ac:dyDescent="0.2">
      <c r="S21402" s="10"/>
    </row>
    <row r="21477" spans="19:19" x14ac:dyDescent="0.2">
      <c r="S21477" s="10"/>
    </row>
    <row r="21505" spans="19:19" x14ac:dyDescent="0.2">
      <c r="S21505" s="10"/>
    </row>
    <row r="21527" spans="19:19" x14ac:dyDescent="0.2">
      <c r="S21527" s="10"/>
    </row>
    <row r="21532" spans="19:19" x14ac:dyDescent="0.2">
      <c r="S21532" s="10"/>
    </row>
    <row r="21533" spans="19:19" x14ac:dyDescent="0.2">
      <c r="S21533" s="10"/>
    </row>
    <row r="21534" spans="19:19" x14ac:dyDescent="0.2">
      <c r="S21534" s="10"/>
    </row>
    <row r="21535" spans="19:19" x14ac:dyDescent="0.2">
      <c r="S21535" s="10"/>
    </row>
    <row r="21536" spans="19:19" x14ac:dyDescent="0.2">
      <c r="S21536" s="10"/>
    </row>
    <row r="21537" spans="19:19" x14ac:dyDescent="0.2">
      <c r="S21537" s="10"/>
    </row>
    <row r="21538" spans="19:19" x14ac:dyDescent="0.2">
      <c r="S21538" s="10"/>
    </row>
    <row r="21539" spans="19:19" x14ac:dyDescent="0.2">
      <c r="S21539" s="10"/>
    </row>
    <row r="21540" spans="19:19" x14ac:dyDescent="0.2">
      <c r="S21540" s="10"/>
    </row>
    <row r="21541" spans="19:19" x14ac:dyDescent="0.2">
      <c r="S21541" s="10"/>
    </row>
    <row r="21542" spans="19:19" x14ac:dyDescent="0.2">
      <c r="S21542" s="10"/>
    </row>
    <row r="21543" spans="19:19" x14ac:dyDescent="0.2">
      <c r="S21543" s="10"/>
    </row>
    <row r="21544" spans="19:19" x14ac:dyDescent="0.2">
      <c r="S21544" s="10"/>
    </row>
    <row r="21545" spans="19:19" x14ac:dyDescent="0.2">
      <c r="S21545" s="10"/>
    </row>
    <row r="21546" spans="19:19" x14ac:dyDescent="0.2">
      <c r="S21546" s="10"/>
    </row>
    <row r="21547" spans="19:19" x14ac:dyDescent="0.2">
      <c r="S21547" s="10"/>
    </row>
    <row r="21548" spans="19:19" x14ac:dyDescent="0.2">
      <c r="S21548" s="10"/>
    </row>
    <row r="21549" spans="19:19" x14ac:dyDescent="0.2">
      <c r="S21549" s="10"/>
    </row>
    <row r="21550" spans="19:19" x14ac:dyDescent="0.2">
      <c r="S21550" s="10"/>
    </row>
    <row r="21551" spans="19:19" x14ac:dyDescent="0.2">
      <c r="S21551" s="10"/>
    </row>
    <row r="21552" spans="19:19" x14ac:dyDescent="0.2">
      <c r="S21552" s="10"/>
    </row>
    <row r="21553" spans="19:19" x14ac:dyDescent="0.2">
      <c r="S21553" s="10"/>
    </row>
    <row r="21554" spans="19:19" x14ac:dyDescent="0.2">
      <c r="S21554" s="10"/>
    </row>
    <row r="21555" spans="19:19" x14ac:dyDescent="0.2">
      <c r="S21555" s="10"/>
    </row>
    <row r="21588" spans="19:19" x14ac:dyDescent="0.2">
      <c r="S21588" s="10"/>
    </row>
    <row r="21663" spans="19:19" x14ac:dyDescent="0.2">
      <c r="S21663" s="10"/>
    </row>
    <row r="21695" spans="19:19" x14ac:dyDescent="0.2">
      <c r="S21695" s="10"/>
    </row>
    <row r="21699" spans="19:19" x14ac:dyDescent="0.2">
      <c r="S21699" s="10"/>
    </row>
    <row r="21702" spans="19:19" x14ac:dyDescent="0.2">
      <c r="S21702" s="10"/>
    </row>
    <row r="21703" spans="19:19" x14ac:dyDescent="0.2">
      <c r="S21703" s="10"/>
    </row>
    <row r="21707" spans="19:19" x14ac:dyDescent="0.2">
      <c r="S21707" s="10"/>
    </row>
    <row r="21708" spans="19:19" x14ac:dyDescent="0.2">
      <c r="S21708" s="10"/>
    </row>
    <row r="21709" spans="19:19" x14ac:dyDescent="0.2">
      <c r="S21709" s="10"/>
    </row>
    <row r="21710" spans="19:19" x14ac:dyDescent="0.2">
      <c r="S21710" s="10"/>
    </row>
    <row r="21711" spans="19:19" x14ac:dyDescent="0.2">
      <c r="S21711" s="10"/>
    </row>
    <row r="21712" spans="19:19" x14ac:dyDescent="0.2">
      <c r="S21712" s="10"/>
    </row>
    <row r="21713" spans="19:19" x14ac:dyDescent="0.2">
      <c r="S21713" s="10"/>
    </row>
    <row r="21716" spans="19:19" x14ac:dyDescent="0.2">
      <c r="S21716" s="10"/>
    </row>
    <row r="21717" spans="19:19" x14ac:dyDescent="0.2">
      <c r="S21717" s="10"/>
    </row>
    <row r="21718" spans="19:19" x14ac:dyDescent="0.2">
      <c r="S21718" s="10"/>
    </row>
    <row r="21719" spans="19:19" x14ac:dyDescent="0.2">
      <c r="S21719" s="10"/>
    </row>
    <row r="21720" spans="19:19" x14ac:dyDescent="0.2">
      <c r="S21720" s="10"/>
    </row>
    <row r="21723" spans="19:19" x14ac:dyDescent="0.2">
      <c r="S21723" s="10"/>
    </row>
    <row r="21724" spans="19:19" x14ac:dyDescent="0.2">
      <c r="S21724" s="10"/>
    </row>
    <row r="21728" spans="19:19" x14ac:dyDescent="0.2">
      <c r="S21728" s="10"/>
    </row>
    <row r="21729" spans="19:19" x14ac:dyDescent="0.2">
      <c r="S21729" s="10"/>
    </row>
    <row r="21732" spans="19:19" x14ac:dyDescent="0.2">
      <c r="S21732" s="10"/>
    </row>
    <row r="21733" spans="19:19" x14ac:dyDescent="0.2">
      <c r="S21733" s="10"/>
    </row>
    <row r="21734" spans="19:19" x14ac:dyDescent="0.2">
      <c r="S21734" s="10"/>
    </row>
    <row r="21735" spans="19:19" x14ac:dyDescent="0.2">
      <c r="S21735" s="10"/>
    </row>
    <row r="21736" spans="19:19" x14ac:dyDescent="0.2">
      <c r="S21736" s="10"/>
    </row>
    <row r="21737" spans="19:19" x14ac:dyDescent="0.2">
      <c r="S21737" s="10"/>
    </row>
    <row r="21739" spans="19:19" x14ac:dyDescent="0.2">
      <c r="S21739" s="10"/>
    </row>
    <row r="21741" spans="19:19" x14ac:dyDescent="0.2">
      <c r="S21741" s="10"/>
    </row>
    <row r="21743" spans="19:19" x14ac:dyDescent="0.2">
      <c r="S21743" s="10"/>
    </row>
    <row r="21763" spans="19:19" x14ac:dyDescent="0.2">
      <c r="S21763" s="10"/>
    </row>
    <row r="21764" spans="19:19" x14ac:dyDescent="0.2">
      <c r="S21764" s="10"/>
    </row>
    <row r="21765" spans="19:19" x14ac:dyDescent="0.2">
      <c r="S21765" s="10"/>
    </row>
    <row r="21766" spans="19:19" x14ac:dyDescent="0.2">
      <c r="S21766" s="10"/>
    </row>
    <row r="21770" spans="19:19" x14ac:dyDescent="0.2">
      <c r="S21770" s="10"/>
    </row>
    <row r="21771" spans="19:19" x14ac:dyDescent="0.2">
      <c r="S21771" s="10"/>
    </row>
    <row r="21772" spans="19:19" x14ac:dyDescent="0.2">
      <c r="S21772" s="10"/>
    </row>
    <row r="21773" spans="19:19" x14ac:dyDescent="0.2">
      <c r="S21773" s="10"/>
    </row>
    <row r="21774" spans="19:19" x14ac:dyDescent="0.2">
      <c r="S21774" s="10"/>
    </row>
    <row r="21775" spans="19:19" x14ac:dyDescent="0.2">
      <c r="S21775" s="10"/>
    </row>
    <row r="21776" spans="19:19" x14ac:dyDescent="0.2">
      <c r="S21776" s="10"/>
    </row>
    <row r="21777" spans="19:19" x14ac:dyDescent="0.2">
      <c r="S21777" s="10"/>
    </row>
    <row r="21778" spans="19:19" x14ac:dyDescent="0.2">
      <c r="S21778" s="10"/>
    </row>
    <row r="21779" spans="19:19" x14ac:dyDescent="0.2">
      <c r="S21779" s="10"/>
    </row>
    <row r="21780" spans="19:19" x14ac:dyDescent="0.2">
      <c r="S21780" s="10"/>
    </row>
    <row r="21781" spans="19:19" x14ac:dyDescent="0.2">
      <c r="S21781" s="10"/>
    </row>
    <row r="21782" spans="19:19" x14ac:dyDescent="0.2">
      <c r="S21782" s="10"/>
    </row>
    <row r="21783" spans="19:19" x14ac:dyDescent="0.2">
      <c r="S21783" s="10"/>
    </row>
    <row r="21784" spans="19:19" x14ac:dyDescent="0.2">
      <c r="S21784" s="10"/>
    </row>
    <row r="21785" spans="19:19" x14ac:dyDescent="0.2">
      <c r="S21785" s="10"/>
    </row>
    <row r="21786" spans="19:19" x14ac:dyDescent="0.2">
      <c r="S21786" s="10"/>
    </row>
    <row r="21787" spans="19:19" x14ac:dyDescent="0.2">
      <c r="S21787" s="10"/>
    </row>
    <row r="21788" spans="19:19" x14ac:dyDescent="0.2">
      <c r="S21788" s="10"/>
    </row>
    <row r="21791" spans="19:19" x14ac:dyDescent="0.2">
      <c r="S21791" s="10"/>
    </row>
    <row r="21792" spans="19:19" x14ac:dyDescent="0.2">
      <c r="S21792" s="10"/>
    </row>
    <row r="21797" spans="19:19" x14ac:dyDescent="0.2">
      <c r="S21797" s="10"/>
    </row>
    <row r="21800" spans="19:19" x14ac:dyDescent="0.2">
      <c r="S21800" s="10"/>
    </row>
    <row r="21801" spans="19:19" x14ac:dyDescent="0.2">
      <c r="S21801" s="10"/>
    </row>
    <row r="21802" spans="19:19" x14ac:dyDescent="0.2">
      <c r="S21802" s="10"/>
    </row>
    <row r="21806" spans="19:19" x14ac:dyDescent="0.2">
      <c r="S21806" s="10"/>
    </row>
    <row r="21807" spans="19:19" x14ac:dyDescent="0.2">
      <c r="S21807" s="10"/>
    </row>
    <row r="21808" spans="19:19" x14ac:dyDescent="0.2">
      <c r="S21808" s="10"/>
    </row>
    <row r="21809" spans="19:19" x14ac:dyDescent="0.2">
      <c r="S21809" s="10"/>
    </row>
    <row r="21810" spans="19:19" x14ac:dyDescent="0.2">
      <c r="S21810" s="10"/>
    </row>
    <row r="21813" spans="19:19" x14ac:dyDescent="0.2">
      <c r="S21813" s="10"/>
    </row>
    <row r="21814" spans="19:19" x14ac:dyDescent="0.2">
      <c r="S21814" s="10"/>
    </row>
    <row r="21815" spans="19:19" x14ac:dyDescent="0.2">
      <c r="S21815" s="10"/>
    </row>
    <row r="21816" spans="19:19" x14ac:dyDescent="0.2">
      <c r="S21816" s="10"/>
    </row>
    <row r="21817" spans="19:19" x14ac:dyDescent="0.2">
      <c r="S21817" s="10"/>
    </row>
    <row r="21818" spans="19:19" x14ac:dyDescent="0.2">
      <c r="S21818" s="10"/>
    </row>
    <row r="21819" spans="19:19" x14ac:dyDescent="0.2">
      <c r="S21819" s="10"/>
    </row>
    <row r="21820" spans="19:19" x14ac:dyDescent="0.2">
      <c r="S21820" s="10"/>
    </row>
    <row r="21821" spans="19:19" x14ac:dyDescent="0.2">
      <c r="S21821" s="10"/>
    </row>
    <row r="21822" spans="19:19" x14ac:dyDescent="0.2">
      <c r="S21822" s="10"/>
    </row>
    <row r="21823" spans="19:19" x14ac:dyDescent="0.2">
      <c r="S21823" s="10"/>
    </row>
    <row r="21826" spans="19:19" x14ac:dyDescent="0.2">
      <c r="S21826" s="10"/>
    </row>
    <row r="21827" spans="19:19" x14ac:dyDescent="0.2">
      <c r="S21827" s="10"/>
    </row>
    <row r="21828" spans="19:19" x14ac:dyDescent="0.2">
      <c r="S21828" s="10"/>
    </row>
    <row r="21829" spans="19:19" x14ac:dyDescent="0.2">
      <c r="S21829" s="10"/>
    </row>
    <row r="21831" spans="19:19" x14ac:dyDescent="0.2">
      <c r="S21831" s="10"/>
    </row>
    <row r="21835" spans="19:19" x14ac:dyDescent="0.2">
      <c r="S21835" s="10"/>
    </row>
    <row r="21840" spans="19:19" x14ac:dyDescent="0.2">
      <c r="S21840" s="10"/>
    </row>
    <row r="21843" spans="19:19" x14ac:dyDescent="0.2">
      <c r="S21843" s="10"/>
    </row>
    <row r="21872" spans="19:19" x14ac:dyDescent="0.2">
      <c r="S21872" s="10"/>
    </row>
    <row r="21891" spans="19:19" x14ac:dyDescent="0.2">
      <c r="S21891" s="10"/>
    </row>
    <row r="21901" spans="19:19" x14ac:dyDescent="0.2">
      <c r="S21901" s="10"/>
    </row>
    <row r="21903" spans="19:19" x14ac:dyDescent="0.2">
      <c r="S21903" s="10"/>
    </row>
    <row r="21904" spans="19:19" x14ac:dyDescent="0.2">
      <c r="S21904" s="10"/>
    </row>
    <row r="21905" spans="19:19" x14ac:dyDescent="0.2">
      <c r="S21905" s="10"/>
    </row>
    <row r="21907" spans="19:19" x14ac:dyDescent="0.2">
      <c r="S21907" s="10"/>
    </row>
    <row r="21908" spans="19:19" x14ac:dyDescent="0.2">
      <c r="S21908" s="10"/>
    </row>
    <row r="21909" spans="19:19" x14ac:dyDescent="0.2">
      <c r="S21909" s="10"/>
    </row>
    <row r="21910" spans="19:19" x14ac:dyDescent="0.2">
      <c r="S21910" s="10"/>
    </row>
    <row r="21911" spans="19:19" x14ac:dyDescent="0.2">
      <c r="S21911" s="10"/>
    </row>
    <row r="21912" spans="19:19" x14ac:dyDescent="0.2">
      <c r="S21912" s="10"/>
    </row>
    <row r="21913" spans="19:19" x14ac:dyDescent="0.2">
      <c r="S21913" s="10"/>
    </row>
    <row r="21914" spans="19:19" x14ac:dyDescent="0.2">
      <c r="S21914" s="10"/>
    </row>
    <row r="21917" spans="19:19" x14ac:dyDescent="0.2">
      <c r="S21917" s="10"/>
    </row>
    <row r="21918" spans="19:19" x14ac:dyDescent="0.2">
      <c r="S21918" s="10"/>
    </row>
    <row r="21919" spans="19:19" x14ac:dyDescent="0.2">
      <c r="S21919" s="10"/>
    </row>
    <row r="21920" spans="19:19" x14ac:dyDescent="0.2">
      <c r="S21920" s="10"/>
    </row>
    <row r="21921" spans="19:19" x14ac:dyDescent="0.2">
      <c r="S21921" s="10"/>
    </row>
    <row r="21929" spans="19:19" x14ac:dyDescent="0.2">
      <c r="S21929" s="10"/>
    </row>
    <row r="21932" spans="19:19" x14ac:dyDescent="0.2">
      <c r="S21932" s="10"/>
    </row>
    <row r="21933" spans="19:19" x14ac:dyDescent="0.2">
      <c r="S21933" s="10"/>
    </row>
    <row r="21952" spans="19:19" x14ac:dyDescent="0.2">
      <c r="S21952" s="10"/>
    </row>
    <row r="21973" spans="19:19" x14ac:dyDescent="0.2">
      <c r="S21973" s="10"/>
    </row>
    <row r="21978" spans="19:19" x14ac:dyDescent="0.2">
      <c r="S21978" s="10"/>
    </row>
    <row r="22016" spans="19:19" x14ac:dyDescent="0.2">
      <c r="S22016" s="10"/>
    </row>
    <row r="22023" spans="19:19" x14ac:dyDescent="0.2">
      <c r="S22023" s="10"/>
    </row>
    <row r="22042" spans="19:19" x14ac:dyDescent="0.2">
      <c r="S22042" s="10"/>
    </row>
    <row r="22044" spans="19:19" x14ac:dyDescent="0.2">
      <c r="S22044" s="10"/>
    </row>
    <row r="22048" spans="19:19" x14ac:dyDescent="0.2">
      <c r="S22048" s="10"/>
    </row>
    <row r="22049" spans="19:19" x14ac:dyDescent="0.2">
      <c r="S22049" s="10"/>
    </row>
    <row r="22051" spans="19:19" x14ac:dyDescent="0.2">
      <c r="S22051" s="10"/>
    </row>
    <row r="22104" spans="19:19" x14ac:dyDescent="0.2">
      <c r="S22104" s="10"/>
    </row>
    <row r="22122" spans="19:19" x14ac:dyDescent="0.2">
      <c r="S22122" s="10"/>
    </row>
    <row r="22125" spans="19:19" x14ac:dyDescent="0.2">
      <c r="S22125" s="10"/>
    </row>
    <row r="22126" spans="19:19" x14ac:dyDescent="0.2">
      <c r="S22126" s="10"/>
    </row>
    <row r="22127" spans="19:19" x14ac:dyDescent="0.2">
      <c r="S22127" s="10"/>
    </row>
    <row r="22180" spans="19:19" x14ac:dyDescent="0.2">
      <c r="S22180" s="10"/>
    </row>
    <row r="22196" spans="19:19" x14ac:dyDescent="0.2">
      <c r="S22196" s="10"/>
    </row>
    <row r="22202" spans="19:19" x14ac:dyDescent="0.2">
      <c r="S22202" s="10"/>
    </row>
    <row r="22209" spans="19:19" x14ac:dyDescent="0.2">
      <c r="S22209" s="10"/>
    </row>
    <row r="22210" spans="19:19" x14ac:dyDescent="0.2">
      <c r="S22210" s="10"/>
    </row>
    <row r="22216" spans="19:19" x14ac:dyDescent="0.2">
      <c r="S22216" s="10"/>
    </row>
    <row r="22247" spans="19:19" x14ac:dyDescent="0.2">
      <c r="S22247" s="10"/>
    </row>
    <row r="22281" spans="19:19" x14ac:dyDescent="0.2">
      <c r="S22281" s="10"/>
    </row>
    <row r="22302" spans="19:19" x14ac:dyDescent="0.2">
      <c r="S22302" s="10"/>
    </row>
    <row r="22303" spans="19:19" x14ac:dyDescent="0.2">
      <c r="S22303" s="10"/>
    </row>
    <row r="22304" spans="19:19" x14ac:dyDescent="0.2">
      <c r="S22304" s="10"/>
    </row>
    <row r="22305" spans="19:19" x14ac:dyDescent="0.2">
      <c r="S22305" s="10"/>
    </row>
    <row r="22306" spans="19:19" x14ac:dyDescent="0.2">
      <c r="S22306" s="10"/>
    </row>
    <row r="22307" spans="19:19" x14ac:dyDescent="0.2">
      <c r="S22307" s="10"/>
    </row>
    <row r="22308" spans="19:19" x14ac:dyDescent="0.2">
      <c r="S22308" s="10"/>
    </row>
    <row r="22309" spans="19:19" x14ac:dyDescent="0.2">
      <c r="S22309" s="10"/>
    </row>
    <row r="22310" spans="19:19" x14ac:dyDescent="0.2">
      <c r="S22310" s="10"/>
    </row>
    <row r="22311" spans="19:19" x14ac:dyDescent="0.2">
      <c r="S22311" s="10"/>
    </row>
    <row r="22314" spans="19:19" x14ac:dyDescent="0.2">
      <c r="S22314" s="10"/>
    </row>
    <row r="22316" spans="19:19" x14ac:dyDescent="0.2">
      <c r="S22316" s="10"/>
    </row>
    <row r="22319" spans="19:19" x14ac:dyDescent="0.2">
      <c r="S22319" s="10"/>
    </row>
    <row r="22321" spans="19:19" x14ac:dyDescent="0.2">
      <c r="S22321" s="10"/>
    </row>
    <row r="22323" spans="19:19" x14ac:dyDescent="0.2">
      <c r="S22323" s="10"/>
    </row>
    <row r="22325" spans="19:19" x14ac:dyDescent="0.2">
      <c r="S22325" s="10"/>
    </row>
    <row r="22329" spans="19:19" x14ac:dyDescent="0.2">
      <c r="S22329" s="10"/>
    </row>
    <row r="22330" spans="19:19" x14ac:dyDescent="0.2">
      <c r="S22330" s="10"/>
    </row>
    <row r="22336" spans="19:19" x14ac:dyDescent="0.2">
      <c r="S22336" s="10"/>
    </row>
    <row r="22339" spans="19:19" x14ac:dyDescent="0.2">
      <c r="S22339" s="10"/>
    </row>
    <row r="22341" spans="19:19" x14ac:dyDescent="0.2">
      <c r="S22341" s="10"/>
    </row>
    <row r="22363" spans="19:19" x14ac:dyDescent="0.2">
      <c r="S22363" s="10"/>
    </row>
    <row r="22375" spans="19:19" x14ac:dyDescent="0.2">
      <c r="S22375" s="10"/>
    </row>
    <row r="22388" spans="19:19" x14ac:dyDescent="0.2">
      <c r="S22388" s="10"/>
    </row>
    <row r="22400" spans="19:19" x14ac:dyDescent="0.2">
      <c r="S22400" s="10"/>
    </row>
    <row r="22423" spans="19:19" x14ac:dyDescent="0.2">
      <c r="S22423" s="10"/>
    </row>
    <row r="22463" spans="19:19" x14ac:dyDescent="0.2">
      <c r="S22463" s="10"/>
    </row>
    <row r="22465" spans="19:19" x14ac:dyDescent="0.2">
      <c r="S22465" s="10"/>
    </row>
    <row r="22469" spans="19:19" x14ac:dyDescent="0.2">
      <c r="S22469" s="10"/>
    </row>
    <row r="22475" spans="19:19" x14ac:dyDescent="0.2">
      <c r="S22475" s="10"/>
    </row>
    <row r="22479" spans="19:19" x14ac:dyDescent="0.2">
      <c r="S22479" s="10"/>
    </row>
    <row r="22495" spans="19:19" x14ac:dyDescent="0.2">
      <c r="S22495" s="10"/>
    </row>
    <row r="22497" spans="19:19" x14ac:dyDescent="0.2">
      <c r="S22497" s="10"/>
    </row>
    <row r="22525" spans="19:19" x14ac:dyDescent="0.2">
      <c r="S22525" s="10"/>
    </row>
    <row r="22526" spans="19:19" x14ac:dyDescent="0.2">
      <c r="S22526" s="10"/>
    </row>
    <row r="22562" spans="19:19" x14ac:dyDescent="0.2">
      <c r="S22562" s="10"/>
    </row>
    <row r="22576" spans="19:19" x14ac:dyDescent="0.2">
      <c r="S22576" s="10"/>
    </row>
    <row r="22580" spans="19:19" x14ac:dyDescent="0.2">
      <c r="S22580" s="10"/>
    </row>
    <row r="22613" spans="19:19" x14ac:dyDescent="0.2">
      <c r="S22613" s="10"/>
    </row>
    <row r="22628" spans="19:19" x14ac:dyDescent="0.2">
      <c r="S22628" s="10"/>
    </row>
    <row r="22629" spans="19:19" x14ac:dyDescent="0.2">
      <c r="S22629" s="10"/>
    </row>
    <row r="22630" spans="19:19" x14ac:dyDescent="0.2">
      <c r="S22630" s="10"/>
    </row>
    <row r="22631" spans="19:19" x14ac:dyDescent="0.2">
      <c r="S22631" s="10"/>
    </row>
    <row r="22632" spans="19:19" x14ac:dyDescent="0.2">
      <c r="S22632" s="10"/>
    </row>
    <row r="22633" spans="19:19" x14ac:dyDescent="0.2">
      <c r="S22633" s="10"/>
    </row>
    <row r="22635" spans="19:19" x14ac:dyDescent="0.2">
      <c r="S22635" s="10"/>
    </row>
    <row r="22638" spans="19:19" x14ac:dyDescent="0.2">
      <c r="S22638" s="10"/>
    </row>
    <row r="22639" spans="19:19" x14ac:dyDescent="0.2">
      <c r="S22639" s="10"/>
    </row>
    <row r="22640" spans="19:19" x14ac:dyDescent="0.2">
      <c r="S22640" s="10"/>
    </row>
    <row r="22641" spans="19:19" x14ac:dyDescent="0.2">
      <c r="S22641" s="10"/>
    </row>
    <row r="22642" spans="19:19" x14ac:dyDescent="0.2">
      <c r="S22642" s="10"/>
    </row>
    <row r="22643" spans="19:19" x14ac:dyDescent="0.2">
      <c r="S22643" s="10"/>
    </row>
    <row r="22644" spans="19:19" x14ac:dyDescent="0.2">
      <c r="S22644" s="10"/>
    </row>
    <row r="22645" spans="19:19" x14ac:dyDescent="0.2">
      <c r="S22645" s="10"/>
    </row>
    <row r="22646" spans="19:19" x14ac:dyDescent="0.2">
      <c r="S22646" s="10"/>
    </row>
    <row r="22647" spans="19:19" x14ac:dyDescent="0.2">
      <c r="S22647" s="10"/>
    </row>
    <row r="22649" spans="19:19" x14ac:dyDescent="0.2">
      <c r="S22649" s="10"/>
    </row>
    <row r="22650" spans="19:19" x14ac:dyDescent="0.2">
      <c r="S22650" s="10"/>
    </row>
    <row r="22651" spans="19:19" x14ac:dyDescent="0.2">
      <c r="S22651" s="10"/>
    </row>
    <row r="22653" spans="19:19" x14ac:dyDescent="0.2">
      <c r="S22653" s="10"/>
    </row>
    <row r="22656" spans="19:19" x14ac:dyDescent="0.2">
      <c r="S22656" s="10"/>
    </row>
    <row r="22657" spans="19:19" x14ac:dyDescent="0.2">
      <c r="S22657" s="10"/>
    </row>
    <row r="22658" spans="19:19" x14ac:dyDescent="0.2">
      <c r="S22658" s="10"/>
    </row>
    <row r="22672" spans="19:19" x14ac:dyDescent="0.2">
      <c r="S22672" s="10"/>
    </row>
    <row r="22674" spans="19:19" x14ac:dyDescent="0.2">
      <c r="S22674" s="10"/>
    </row>
    <row r="22675" spans="19:19" x14ac:dyDescent="0.2">
      <c r="S22675" s="10"/>
    </row>
    <row r="22676" spans="19:19" x14ac:dyDescent="0.2">
      <c r="S22676" s="10"/>
    </row>
    <row r="22677" spans="19:19" x14ac:dyDescent="0.2">
      <c r="S22677" s="10"/>
    </row>
    <row r="22678" spans="19:19" x14ac:dyDescent="0.2">
      <c r="S22678" s="10"/>
    </row>
    <row r="22679" spans="19:19" x14ac:dyDescent="0.2">
      <c r="S22679" s="10"/>
    </row>
    <row r="22680" spans="19:19" x14ac:dyDescent="0.2">
      <c r="S22680" s="10"/>
    </row>
    <row r="22681" spans="19:19" x14ac:dyDescent="0.2">
      <c r="S22681" s="10"/>
    </row>
    <row r="22682" spans="19:19" x14ac:dyDescent="0.2">
      <c r="S22682" s="10"/>
    </row>
    <row r="22683" spans="19:19" x14ac:dyDescent="0.2">
      <c r="S22683" s="10"/>
    </row>
    <row r="22684" spans="19:19" x14ac:dyDescent="0.2">
      <c r="S22684" s="10"/>
    </row>
    <row r="22685" spans="19:19" x14ac:dyDescent="0.2">
      <c r="S22685" s="10"/>
    </row>
    <row r="22686" spans="19:19" x14ac:dyDescent="0.2">
      <c r="S22686" s="10"/>
    </row>
    <row r="22687" spans="19:19" x14ac:dyDescent="0.2">
      <c r="S22687" s="10"/>
    </row>
    <row r="22688" spans="19:19" x14ac:dyDescent="0.2">
      <c r="S22688" s="10"/>
    </row>
    <row r="22689" spans="19:19" x14ac:dyDescent="0.2">
      <c r="S22689" s="10"/>
    </row>
    <row r="22690" spans="19:19" x14ac:dyDescent="0.2">
      <c r="S22690" s="10"/>
    </row>
    <row r="22691" spans="19:19" x14ac:dyDescent="0.2">
      <c r="S22691" s="10"/>
    </row>
    <row r="22692" spans="19:19" x14ac:dyDescent="0.2">
      <c r="S22692" s="10"/>
    </row>
    <row r="22693" spans="19:19" x14ac:dyDescent="0.2">
      <c r="S22693" s="10"/>
    </row>
    <row r="22694" spans="19:19" x14ac:dyDescent="0.2">
      <c r="S22694" s="10"/>
    </row>
    <row r="22695" spans="19:19" x14ac:dyDescent="0.2">
      <c r="S22695" s="10"/>
    </row>
    <row r="22696" spans="19:19" x14ac:dyDescent="0.2">
      <c r="S22696" s="10"/>
    </row>
    <row r="22697" spans="19:19" x14ac:dyDescent="0.2">
      <c r="S22697" s="10"/>
    </row>
    <row r="22698" spans="19:19" x14ac:dyDescent="0.2">
      <c r="S22698" s="10"/>
    </row>
    <row r="22699" spans="19:19" x14ac:dyDescent="0.2">
      <c r="S22699" s="10"/>
    </row>
    <row r="22700" spans="19:19" x14ac:dyDescent="0.2">
      <c r="S22700" s="10"/>
    </row>
    <row r="22701" spans="19:19" x14ac:dyDescent="0.2">
      <c r="S22701" s="10"/>
    </row>
    <row r="22702" spans="19:19" x14ac:dyDescent="0.2">
      <c r="S22702" s="10"/>
    </row>
    <row r="22703" spans="19:19" x14ac:dyDescent="0.2">
      <c r="S22703" s="10"/>
    </row>
    <row r="22704" spans="19:19" x14ac:dyDescent="0.2">
      <c r="S22704" s="10"/>
    </row>
    <row r="22705" spans="19:19" x14ac:dyDescent="0.2">
      <c r="S22705" s="10"/>
    </row>
    <row r="22706" spans="19:19" x14ac:dyDescent="0.2">
      <c r="S22706" s="10"/>
    </row>
    <row r="22707" spans="19:19" x14ac:dyDescent="0.2">
      <c r="S22707" s="10"/>
    </row>
    <row r="22708" spans="19:19" x14ac:dyDescent="0.2">
      <c r="S22708" s="10"/>
    </row>
    <row r="22710" spans="19:19" x14ac:dyDescent="0.2">
      <c r="S22710" s="10"/>
    </row>
    <row r="22711" spans="19:19" x14ac:dyDescent="0.2">
      <c r="S22711" s="10"/>
    </row>
    <row r="22712" spans="19:19" x14ac:dyDescent="0.2">
      <c r="S22712" s="10"/>
    </row>
    <row r="22713" spans="19:19" x14ac:dyDescent="0.2">
      <c r="S22713" s="10"/>
    </row>
    <row r="22714" spans="19:19" x14ac:dyDescent="0.2">
      <c r="S22714" s="10"/>
    </row>
    <row r="22715" spans="19:19" x14ac:dyDescent="0.2">
      <c r="S22715" s="10"/>
    </row>
    <row r="22717" spans="19:19" x14ac:dyDescent="0.2">
      <c r="S22717" s="10"/>
    </row>
    <row r="22724" spans="19:19" x14ac:dyDescent="0.2">
      <c r="S22724" s="10"/>
    </row>
    <row r="22725" spans="19:19" x14ac:dyDescent="0.2">
      <c r="S22725" s="10"/>
    </row>
    <row r="22726" spans="19:19" x14ac:dyDescent="0.2">
      <c r="S22726" s="10"/>
    </row>
    <row r="22727" spans="19:19" x14ac:dyDescent="0.2">
      <c r="S22727" s="10"/>
    </row>
    <row r="22728" spans="19:19" x14ac:dyDescent="0.2">
      <c r="S22728" s="10"/>
    </row>
    <row r="22729" spans="19:19" x14ac:dyDescent="0.2">
      <c r="S22729" s="10"/>
    </row>
    <row r="22730" spans="19:19" x14ac:dyDescent="0.2">
      <c r="S22730" s="10"/>
    </row>
    <row r="22731" spans="19:19" x14ac:dyDescent="0.2">
      <c r="S22731" s="10"/>
    </row>
    <row r="22732" spans="19:19" x14ac:dyDescent="0.2">
      <c r="S22732" s="10"/>
    </row>
    <row r="22733" spans="19:19" x14ac:dyDescent="0.2">
      <c r="S22733" s="10"/>
    </row>
    <row r="22734" spans="19:19" x14ac:dyDescent="0.2">
      <c r="S22734" s="10"/>
    </row>
    <row r="22735" spans="19:19" x14ac:dyDescent="0.2">
      <c r="S22735" s="10"/>
    </row>
    <row r="22736" spans="19:19" x14ac:dyDescent="0.2">
      <c r="S22736" s="10"/>
    </row>
    <row r="22737" spans="19:19" x14ac:dyDescent="0.2">
      <c r="S22737" s="10"/>
    </row>
    <row r="22739" spans="19:19" x14ac:dyDescent="0.2">
      <c r="S22739" s="10"/>
    </row>
    <row r="22740" spans="19:19" x14ac:dyDescent="0.2">
      <c r="S22740" s="10"/>
    </row>
    <row r="22741" spans="19:19" x14ac:dyDescent="0.2">
      <c r="S22741" s="10"/>
    </row>
    <row r="22742" spans="19:19" x14ac:dyDescent="0.2">
      <c r="S22742" s="10"/>
    </row>
    <row r="22743" spans="19:19" x14ac:dyDescent="0.2">
      <c r="S22743" s="10"/>
    </row>
    <row r="22744" spans="19:19" x14ac:dyDescent="0.2">
      <c r="S22744" s="10"/>
    </row>
    <row r="22745" spans="19:19" x14ac:dyDescent="0.2">
      <c r="S22745" s="10"/>
    </row>
    <row r="22746" spans="19:19" x14ac:dyDescent="0.2">
      <c r="S22746" s="10"/>
    </row>
    <row r="22747" spans="19:19" x14ac:dyDescent="0.2">
      <c r="S22747" s="10"/>
    </row>
    <row r="22748" spans="19:19" x14ac:dyDescent="0.2">
      <c r="S22748" s="10"/>
    </row>
    <row r="22749" spans="19:19" x14ac:dyDescent="0.2">
      <c r="S22749" s="10"/>
    </row>
    <row r="22750" spans="19:19" x14ac:dyDescent="0.2">
      <c r="S22750" s="10"/>
    </row>
    <row r="22751" spans="19:19" x14ac:dyDescent="0.2">
      <c r="S22751" s="10"/>
    </row>
    <row r="22752" spans="19:19" x14ac:dyDescent="0.2">
      <c r="S22752" s="10"/>
    </row>
    <row r="22754" spans="19:19" x14ac:dyDescent="0.2">
      <c r="S22754" s="10"/>
    </row>
    <row r="22777" spans="19:19" x14ac:dyDescent="0.2">
      <c r="S22777" s="10"/>
    </row>
    <row r="22814" spans="19:19" x14ac:dyDescent="0.2">
      <c r="S22814" s="10"/>
    </row>
    <row r="22830" spans="19:19" x14ac:dyDescent="0.2">
      <c r="S22830" s="10"/>
    </row>
    <row r="22851" spans="19:19" x14ac:dyDescent="0.2">
      <c r="S22851" s="10"/>
    </row>
    <row r="22852" spans="19:19" x14ac:dyDescent="0.2">
      <c r="S22852" s="10"/>
    </row>
    <row r="22865" spans="19:19" x14ac:dyDescent="0.2">
      <c r="S22865" s="10"/>
    </row>
    <row r="22866" spans="19:19" x14ac:dyDescent="0.2">
      <c r="S22866" s="10"/>
    </row>
    <row r="22869" spans="19:19" x14ac:dyDescent="0.2">
      <c r="S22869" s="10"/>
    </row>
    <row r="22873" spans="19:19" x14ac:dyDescent="0.2">
      <c r="S22873" s="10"/>
    </row>
    <row r="22881" spans="19:19" x14ac:dyDescent="0.2">
      <c r="S22881" s="10"/>
    </row>
    <row r="22882" spans="19:19" x14ac:dyDescent="0.2">
      <c r="S22882" s="10"/>
    </row>
    <row r="22883" spans="19:19" x14ac:dyDescent="0.2">
      <c r="S22883" s="10"/>
    </row>
    <row r="22884" spans="19:19" x14ac:dyDescent="0.2">
      <c r="S22884" s="10"/>
    </row>
    <row r="22885" spans="19:19" x14ac:dyDescent="0.2">
      <c r="S22885" s="10"/>
    </row>
    <row r="22887" spans="19:19" x14ac:dyDescent="0.2">
      <c r="S22887" s="10"/>
    </row>
    <row r="22890" spans="19:19" x14ac:dyDescent="0.2">
      <c r="S22890" s="10"/>
    </row>
    <row r="22891" spans="19:19" x14ac:dyDescent="0.2">
      <c r="S22891" s="10"/>
    </row>
    <row r="22893" spans="19:19" x14ac:dyDescent="0.2">
      <c r="S22893" s="10"/>
    </row>
    <row r="22897" spans="19:19" x14ac:dyDescent="0.2">
      <c r="S22897" s="10"/>
    </row>
    <row r="22906" spans="19:19" x14ac:dyDescent="0.2">
      <c r="S22906" s="10"/>
    </row>
    <row r="22908" spans="19:19" x14ac:dyDescent="0.2">
      <c r="S22908" s="10"/>
    </row>
    <row r="22910" spans="19:19" x14ac:dyDescent="0.2">
      <c r="S22910" s="10"/>
    </row>
    <row r="22911" spans="19:19" x14ac:dyDescent="0.2">
      <c r="S22911" s="10"/>
    </row>
    <row r="22912" spans="19:19" x14ac:dyDescent="0.2">
      <c r="S22912" s="10"/>
    </row>
    <row r="22913" spans="19:19" x14ac:dyDescent="0.2">
      <c r="S22913" s="10"/>
    </row>
    <row r="22914" spans="19:19" x14ac:dyDescent="0.2">
      <c r="S22914" s="10"/>
    </row>
    <row r="22918" spans="19:19" x14ac:dyDescent="0.2">
      <c r="S22918" s="10"/>
    </row>
    <row r="22922" spans="19:19" x14ac:dyDescent="0.2">
      <c r="S22922" s="10"/>
    </row>
    <row r="22929" spans="19:19" x14ac:dyDescent="0.2">
      <c r="S22929" s="10"/>
    </row>
    <row r="22930" spans="19:19" x14ac:dyDescent="0.2">
      <c r="S22930" s="10"/>
    </row>
    <row r="22931" spans="19:19" x14ac:dyDescent="0.2">
      <c r="S22931" s="10"/>
    </row>
    <row r="22932" spans="19:19" x14ac:dyDescent="0.2">
      <c r="S22932" s="10"/>
    </row>
    <row r="22933" spans="19:19" x14ac:dyDescent="0.2">
      <c r="S22933" s="10"/>
    </row>
    <row r="22934" spans="19:19" x14ac:dyDescent="0.2">
      <c r="S22934" s="10"/>
    </row>
    <row r="22935" spans="19:19" x14ac:dyDescent="0.2">
      <c r="S22935" s="10"/>
    </row>
    <row r="22936" spans="19:19" x14ac:dyDescent="0.2">
      <c r="S22936" s="10"/>
    </row>
    <row r="22937" spans="19:19" x14ac:dyDescent="0.2">
      <c r="S22937" s="10"/>
    </row>
    <row r="22938" spans="19:19" x14ac:dyDescent="0.2">
      <c r="S22938" s="10"/>
    </row>
    <row r="22942" spans="19:19" x14ac:dyDescent="0.2">
      <c r="S22942" s="10"/>
    </row>
    <row r="22946" spans="19:19" x14ac:dyDescent="0.2">
      <c r="S22946" s="10"/>
    </row>
    <row r="22948" spans="19:19" x14ac:dyDescent="0.2">
      <c r="S22948" s="10"/>
    </row>
    <row r="22959" spans="19:19" x14ac:dyDescent="0.2">
      <c r="S22959" s="10"/>
    </row>
    <row r="22963" spans="19:19" x14ac:dyDescent="0.2">
      <c r="S22963" s="10"/>
    </row>
    <row r="22964" spans="19:19" x14ac:dyDescent="0.2">
      <c r="S22964" s="10"/>
    </row>
    <row r="22965" spans="19:19" x14ac:dyDescent="0.2">
      <c r="S22965" s="10"/>
    </row>
    <row r="22969" spans="19:19" x14ac:dyDescent="0.2">
      <c r="S22969" s="10"/>
    </row>
    <row r="22970" spans="19:19" x14ac:dyDescent="0.2">
      <c r="S22970" s="10"/>
    </row>
    <row r="22971" spans="19:19" x14ac:dyDescent="0.2">
      <c r="S22971" s="10"/>
    </row>
    <row r="22972" spans="19:19" x14ac:dyDescent="0.2">
      <c r="S22972" s="10"/>
    </row>
    <row r="22973" spans="19:19" x14ac:dyDescent="0.2">
      <c r="S22973" s="10"/>
    </row>
    <row r="22974" spans="19:19" x14ac:dyDescent="0.2">
      <c r="S22974" s="10"/>
    </row>
    <row r="22975" spans="19:19" x14ac:dyDescent="0.2">
      <c r="S22975" s="10"/>
    </row>
    <row r="22976" spans="19:19" x14ac:dyDescent="0.2">
      <c r="S22976" s="10"/>
    </row>
    <row r="22977" spans="19:19" x14ac:dyDescent="0.2">
      <c r="S22977" s="10"/>
    </row>
    <row r="22978" spans="19:19" x14ac:dyDescent="0.2">
      <c r="S22978" s="10"/>
    </row>
    <row r="22979" spans="19:19" x14ac:dyDescent="0.2">
      <c r="S22979" s="10"/>
    </row>
    <row r="22980" spans="19:19" x14ac:dyDescent="0.2">
      <c r="S22980" s="10"/>
    </row>
    <row r="22981" spans="19:19" x14ac:dyDescent="0.2">
      <c r="S22981" s="10"/>
    </row>
    <row r="22985" spans="19:19" x14ac:dyDescent="0.2">
      <c r="S22985" s="10"/>
    </row>
    <row r="22986" spans="19:19" x14ac:dyDescent="0.2">
      <c r="S22986" s="10"/>
    </row>
    <row r="22987" spans="19:19" x14ac:dyDescent="0.2">
      <c r="S22987" s="10"/>
    </row>
    <row r="22988" spans="19:19" x14ac:dyDescent="0.2">
      <c r="S22988" s="10"/>
    </row>
    <row r="22992" spans="19:19" x14ac:dyDescent="0.2">
      <c r="S22992" s="10"/>
    </row>
    <row r="22993" spans="19:19" x14ac:dyDescent="0.2">
      <c r="S22993" s="10"/>
    </row>
    <row r="22995" spans="19:19" x14ac:dyDescent="0.2">
      <c r="S22995" s="10"/>
    </row>
    <row r="22996" spans="19:19" x14ac:dyDescent="0.2">
      <c r="S22996" s="10"/>
    </row>
    <row r="22997" spans="19:19" x14ac:dyDescent="0.2">
      <c r="S22997" s="10"/>
    </row>
    <row r="22998" spans="19:19" x14ac:dyDescent="0.2">
      <c r="S22998" s="10"/>
    </row>
    <row r="22999" spans="19:19" x14ac:dyDescent="0.2">
      <c r="S22999" s="10"/>
    </row>
    <row r="23042" spans="19:19" x14ac:dyDescent="0.2">
      <c r="S23042" s="10"/>
    </row>
    <row r="23050" spans="19:19" x14ac:dyDescent="0.2">
      <c r="S23050" s="10"/>
    </row>
    <row r="23051" spans="19:19" x14ac:dyDescent="0.2">
      <c r="S23051" s="10"/>
    </row>
    <row r="23052" spans="19:19" x14ac:dyDescent="0.2">
      <c r="S23052" s="10"/>
    </row>
    <row r="23053" spans="19:19" x14ac:dyDescent="0.2">
      <c r="S23053" s="10"/>
    </row>
    <row r="23054" spans="19:19" x14ac:dyDescent="0.2">
      <c r="S23054" s="10"/>
    </row>
    <row r="23055" spans="19:19" x14ac:dyDescent="0.2">
      <c r="S23055" s="10"/>
    </row>
    <row r="23059" spans="19:19" x14ac:dyDescent="0.2">
      <c r="S23059" s="10"/>
    </row>
    <row r="23081" spans="19:19" x14ac:dyDescent="0.2">
      <c r="S23081" s="10"/>
    </row>
    <row r="23090" spans="19:19" x14ac:dyDescent="0.2">
      <c r="S23090" s="10"/>
    </row>
    <row r="23117" spans="19:19" x14ac:dyDescent="0.2">
      <c r="S23117" s="10"/>
    </row>
    <row r="23119" spans="19:19" x14ac:dyDescent="0.2">
      <c r="S23119" s="10"/>
    </row>
    <row r="23122" spans="19:19" x14ac:dyDescent="0.2">
      <c r="S23122" s="10"/>
    </row>
    <row r="23127" spans="19:19" x14ac:dyDescent="0.2">
      <c r="S23127" s="10"/>
    </row>
    <row r="23143" spans="19:19" x14ac:dyDescent="0.2">
      <c r="S23143" s="10"/>
    </row>
    <row r="23145" spans="19:19" x14ac:dyDescent="0.2">
      <c r="S23145" s="10"/>
    </row>
    <row r="23147" spans="19:19" x14ac:dyDescent="0.2">
      <c r="S23147" s="10"/>
    </row>
    <row r="23157" spans="19:19" x14ac:dyDescent="0.2">
      <c r="S23157" s="10"/>
    </row>
    <row r="23159" spans="19:19" x14ac:dyDescent="0.2">
      <c r="S23159" s="10"/>
    </row>
    <row r="23170" spans="19:19" x14ac:dyDescent="0.2">
      <c r="S23170" s="10"/>
    </row>
    <row r="23174" spans="19:19" x14ac:dyDescent="0.2">
      <c r="S23174" s="10"/>
    </row>
    <row r="23175" spans="19:19" x14ac:dyDescent="0.2">
      <c r="S23175" s="10"/>
    </row>
    <row r="23178" spans="19:19" x14ac:dyDescent="0.2">
      <c r="S23178" s="10"/>
    </row>
    <row r="23180" spans="19:19" x14ac:dyDescent="0.2">
      <c r="S23180" s="10"/>
    </row>
    <row r="23185" spans="19:19" x14ac:dyDescent="0.2">
      <c r="S23185" s="10"/>
    </row>
    <row r="23215" spans="19:19" x14ac:dyDescent="0.2">
      <c r="S23215" s="10"/>
    </row>
    <row r="23219" spans="19:19" x14ac:dyDescent="0.2">
      <c r="S23219" s="10"/>
    </row>
    <row r="23220" spans="19:19" x14ac:dyDescent="0.2">
      <c r="S23220" s="10"/>
    </row>
    <row r="23241" spans="19:19" x14ac:dyDescent="0.2">
      <c r="S23241" s="10"/>
    </row>
    <row r="23249" spans="19:19" x14ac:dyDescent="0.2">
      <c r="S23249" s="10"/>
    </row>
    <row r="23268" spans="19:19" x14ac:dyDescent="0.2">
      <c r="S23268" s="10"/>
    </row>
    <row r="23274" spans="19:19" x14ac:dyDescent="0.2">
      <c r="S23274" s="10"/>
    </row>
    <row r="23276" spans="19:19" x14ac:dyDescent="0.2">
      <c r="S23276" s="10"/>
    </row>
    <row r="23280" spans="19:19" x14ac:dyDescent="0.2">
      <c r="S23280" s="10"/>
    </row>
    <row r="23284" spans="19:19" x14ac:dyDescent="0.2">
      <c r="S23284" s="10"/>
    </row>
    <row r="23288" spans="19:19" x14ac:dyDescent="0.2">
      <c r="S23288" s="10"/>
    </row>
    <row r="23298" spans="19:19" x14ac:dyDescent="0.2">
      <c r="S23298" s="10"/>
    </row>
    <row r="23306" spans="19:19" x14ac:dyDescent="0.2">
      <c r="S23306" s="10"/>
    </row>
    <row r="23314" spans="19:19" x14ac:dyDescent="0.2">
      <c r="S23314" s="10"/>
    </row>
    <row r="23316" spans="19:19" x14ac:dyDescent="0.2">
      <c r="S23316" s="10"/>
    </row>
    <row r="23318" spans="19:19" x14ac:dyDescent="0.2">
      <c r="S23318" s="10"/>
    </row>
    <row r="23328" spans="19:19" x14ac:dyDescent="0.2">
      <c r="S23328" s="10"/>
    </row>
    <row r="23332" spans="19:19" x14ac:dyDescent="0.2">
      <c r="S23332" s="10"/>
    </row>
    <row r="23347" spans="19:19" x14ac:dyDescent="0.2">
      <c r="S23347" s="10"/>
    </row>
    <row r="23349" spans="19:19" x14ac:dyDescent="0.2">
      <c r="S23349" s="10"/>
    </row>
    <row r="23355" spans="19:19" x14ac:dyDescent="0.2">
      <c r="S23355" s="10"/>
    </row>
    <row r="23365" spans="19:19" x14ac:dyDescent="0.2">
      <c r="S23365" s="10"/>
    </row>
    <row r="23367" spans="19:19" x14ac:dyDescent="0.2">
      <c r="S23367" s="10"/>
    </row>
    <row r="23377" spans="19:19" x14ac:dyDescent="0.2">
      <c r="S23377" s="10"/>
    </row>
    <row r="23383" spans="19:19" x14ac:dyDescent="0.2">
      <c r="S23383" s="10"/>
    </row>
    <row r="23412" spans="19:19" x14ac:dyDescent="0.2">
      <c r="S23412" s="10"/>
    </row>
    <row r="23431" spans="19:19" x14ac:dyDescent="0.2">
      <c r="S23431" s="10"/>
    </row>
    <row r="23433" spans="19:19" x14ac:dyDescent="0.2">
      <c r="S23433" s="10"/>
    </row>
    <row r="23442" spans="19:19" x14ac:dyDescent="0.2">
      <c r="S23442" s="10"/>
    </row>
    <row r="23443" spans="19:19" x14ac:dyDescent="0.2">
      <c r="S23443" s="10"/>
    </row>
    <row r="23444" spans="19:19" x14ac:dyDescent="0.2">
      <c r="S23444" s="10"/>
    </row>
    <row r="23445" spans="19:19" x14ac:dyDescent="0.2">
      <c r="S23445" s="10"/>
    </row>
    <row r="23460" spans="19:19" x14ac:dyDescent="0.2">
      <c r="S23460" s="10"/>
    </row>
    <row r="23462" spans="19:19" x14ac:dyDescent="0.2">
      <c r="S23462" s="10"/>
    </row>
    <row r="23464" spans="19:19" x14ac:dyDescent="0.2">
      <c r="S23464" s="10"/>
    </row>
    <row r="23470" spans="19:19" x14ac:dyDescent="0.2">
      <c r="S23470" s="10"/>
    </row>
    <row r="23476" spans="19:19" x14ac:dyDescent="0.2">
      <c r="S23476" s="10"/>
    </row>
    <row r="23498" spans="19:19" x14ac:dyDescent="0.2">
      <c r="S23498" s="10"/>
    </row>
    <row r="23500" spans="19:19" x14ac:dyDescent="0.2">
      <c r="S23500" s="10"/>
    </row>
    <row r="23501" spans="19:19" x14ac:dyDescent="0.2">
      <c r="S23501" s="10"/>
    </row>
    <row r="23507" spans="19:19" x14ac:dyDescent="0.2">
      <c r="S23507" s="10"/>
    </row>
    <row r="23509" spans="19:19" x14ac:dyDescent="0.2">
      <c r="S23509" s="10"/>
    </row>
    <row r="23582" spans="19:19" x14ac:dyDescent="0.2">
      <c r="S23582" s="10"/>
    </row>
    <row r="23611" spans="19:19" x14ac:dyDescent="0.2">
      <c r="S23611" s="10"/>
    </row>
    <row r="23613" spans="19:19" x14ac:dyDescent="0.2">
      <c r="S23613" s="10"/>
    </row>
    <row r="23621" spans="19:19" x14ac:dyDescent="0.2">
      <c r="S23621" s="10"/>
    </row>
    <row r="23645" spans="19:19" x14ac:dyDescent="0.2">
      <c r="S23645" s="10"/>
    </row>
    <row r="23666" spans="19:19" x14ac:dyDescent="0.2">
      <c r="S23666" s="10"/>
    </row>
    <row r="23668" spans="19:19" x14ac:dyDescent="0.2">
      <c r="S23668" s="10"/>
    </row>
    <row r="23677" spans="19:19" x14ac:dyDescent="0.2">
      <c r="S23677" s="10"/>
    </row>
    <row r="23678" spans="19:19" x14ac:dyDescent="0.2">
      <c r="S23678" s="10"/>
    </row>
    <row r="23706" spans="19:19" x14ac:dyDescent="0.2">
      <c r="S23706" s="10"/>
    </row>
    <row r="23712" spans="19:19" x14ac:dyDescent="0.2">
      <c r="S23712" s="10"/>
    </row>
    <row r="23726" spans="19:19" x14ac:dyDescent="0.2">
      <c r="S23726" s="10"/>
    </row>
    <row r="23727" spans="19:19" x14ac:dyDescent="0.2">
      <c r="S23727" s="10"/>
    </row>
    <row r="23728" spans="19:19" x14ac:dyDescent="0.2">
      <c r="S23728" s="10"/>
    </row>
    <row r="23730" spans="19:19" x14ac:dyDescent="0.2">
      <c r="S23730" s="10"/>
    </row>
    <row r="23732" spans="19:19" x14ac:dyDescent="0.2">
      <c r="S23732" s="10"/>
    </row>
    <row r="23733" spans="19:19" x14ac:dyDescent="0.2">
      <c r="S23733" s="10"/>
    </row>
    <row r="23739" spans="19:19" x14ac:dyDescent="0.2">
      <c r="S23739" s="10"/>
    </row>
    <row r="23740" spans="19:19" x14ac:dyDescent="0.2">
      <c r="S23740" s="10"/>
    </row>
    <row r="23741" spans="19:19" x14ac:dyDescent="0.2">
      <c r="S23741" s="10"/>
    </row>
    <row r="23742" spans="19:19" x14ac:dyDescent="0.2">
      <c r="S23742" s="10"/>
    </row>
    <row r="23743" spans="19:19" x14ac:dyDescent="0.2">
      <c r="S23743" s="10"/>
    </row>
    <row r="23744" spans="19:19" x14ac:dyDescent="0.2">
      <c r="S23744" s="10"/>
    </row>
    <row r="23745" spans="19:19" x14ac:dyDescent="0.2">
      <c r="S23745" s="10"/>
    </row>
    <row r="23746" spans="19:19" x14ac:dyDescent="0.2">
      <c r="S23746" s="10"/>
    </row>
    <row r="23747" spans="19:19" x14ac:dyDescent="0.2">
      <c r="S23747" s="10"/>
    </row>
    <row r="23748" spans="19:19" x14ac:dyDescent="0.2">
      <c r="S23748" s="10"/>
    </row>
    <row r="23749" spans="19:19" x14ac:dyDescent="0.2">
      <c r="S23749" s="10"/>
    </row>
    <row r="23750" spans="19:19" x14ac:dyDescent="0.2">
      <c r="S23750" s="10"/>
    </row>
    <row r="23751" spans="19:19" x14ac:dyDescent="0.2">
      <c r="S23751" s="10"/>
    </row>
    <row r="23752" spans="19:19" x14ac:dyDescent="0.2">
      <c r="S23752" s="10"/>
    </row>
    <row r="23753" spans="19:19" x14ac:dyDescent="0.2">
      <c r="S23753" s="10"/>
    </row>
    <row r="23754" spans="19:19" x14ac:dyDescent="0.2">
      <c r="S23754" s="10"/>
    </row>
    <row r="23755" spans="19:19" x14ac:dyDescent="0.2">
      <c r="S23755" s="10"/>
    </row>
    <row r="23756" spans="19:19" x14ac:dyDescent="0.2">
      <c r="S23756" s="10"/>
    </row>
    <row r="23757" spans="19:19" x14ac:dyDescent="0.2">
      <c r="S23757" s="10"/>
    </row>
    <row r="23758" spans="19:19" x14ac:dyDescent="0.2">
      <c r="S23758" s="10"/>
    </row>
    <row r="23759" spans="19:19" x14ac:dyDescent="0.2">
      <c r="S23759" s="10"/>
    </row>
    <row r="23760" spans="19:19" x14ac:dyDescent="0.2">
      <c r="S23760" s="10"/>
    </row>
    <row r="23761" spans="19:19" x14ac:dyDescent="0.2">
      <c r="S23761" s="10"/>
    </row>
    <row r="23762" spans="19:19" x14ac:dyDescent="0.2">
      <c r="S23762" s="10"/>
    </row>
    <row r="23763" spans="19:19" x14ac:dyDescent="0.2">
      <c r="S23763" s="10"/>
    </row>
    <row r="23764" spans="19:19" x14ac:dyDescent="0.2">
      <c r="S23764" s="10"/>
    </row>
    <row r="23765" spans="19:19" x14ac:dyDescent="0.2">
      <c r="S23765" s="10"/>
    </row>
    <row r="23766" spans="19:19" x14ac:dyDescent="0.2">
      <c r="S23766" s="10"/>
    </row>
    <row r="23767" spans="19:19" x14ac:dyDescent="0.2">
      <c r="S23767" s="10"/>
    </row>
    <row r="23768" spans="19:19" x14ac:dyDescent="0.2">
      <c r="S23768" s="10"/>
    </row>
    <row r="23769" spans="19:19" x14ac:dyDescent="0.2">
      <c r="S23769" s="10"/>
    </row>
    <row r="23770" spans="19:19" x14ac:dyDescent="0.2">
      <c r="S23770" s="10"/>
    </row>
    <row r="23771" spans="19:19" x14ac:dyDescent="0.2">
      <c r="S23771" s="10"/>
    </row>
    <row r="23774" spans="19:19" x14ac:dyDescent="0.2">
      <c r="S23774" s="10"/>
    </row>
    <row r="23775" spans="19:19" x14ac:dyDescent="0.2">
      <c r="S23775" s="10"/>
    </row>
    <row r="23787" spans="19:19" x14ac:dyDescent="0.2">
      <c r="S23787" s="10"/>
    </row>
    <row r="23788" spans="19:19" x14ac:dyDescent="0.2">
      <c r="S23788" s="10"/>
    </row>
    <row r="23790" spans="19:19" x14ac:dyDescent="0.2">
      <c r="S23790" s="10"/>
    </row>
    <row r="23791" spans="19:19" x14ac:dyDescent="0.2">
      <c r="S23791" s="10"/>
    </row>
    <row r="23792" spans="19:19" x14ac:dyDescent="0.2">
      <c r="S23792" s="10"/>
    </row>
    <row r="23795" spans="19:19" x14ac:dyDescent="0.2">
      <c r="S23795" s="10"/>
    </row>
    <row r="23796" spans="19:19" x14ac:dyDescent="0.2">
      <c r="S23796" s="10"/>
    </row>
    <row r="23797" spans="19:19" x14ac:dyDescent="0.2">
      <c r="S23797" s="10"/>
    </row>
    <row r="23800" spans="19:19" x14ac:dyDescent="0.2">
      <c r="S23800" s="10"/>
    </row>
    <row r="23804" spans="19:19" x14ac:dyDescent="0.2">
      <c r="S23804" s="10"/>
    </row>
    <row r="23807" spans="19:19" x14ac:dyDescent="0.2">
      <c r="S23807" s="10"/>
    </row>
    <row r="23808" spans="19:19" x14ac:dyDescent="0.2">
      <c r="S23808" s="10"/>
    </row>
    <row r="23827" spans="19:19" x14ac:dyDescent="0.2">
      <c r="S23827" s="10"/>
    </row>
    <row r="23829" spans="19:19" x14ac:dyDescent="0.2">
      <c r="S23829" s="10"/>
    </row>
    <row r="23831" spans="19:19" x14ac:dyDescent="0.2">
      <c r="S23831" s="10"/>
    </row>
  </sheetData>
  <autoFilter ref="A1:CB1" xr:uid="{00000000-0009-0000-0000-000000000000}"/>
  <pageMargins left="0.59055118110236227" right="0" top="0.94488188976377963" bottom="0.55118110236220474" header="0.15748031496062992" footer="0.23622047244094491"/>
  <pageSetup paperSize="5" scale="70" orientation="landscape" r:id="rId1"/>
  <headerFooter alignWithMargins="0">
    <oddHeader>&amp;L&amp;"Arial,Bold"DISCOVER COMMUNICATIONS INC.
NEW ACTIVATIONS
Jan 01-31, 2019</oddHeader>
    <oddFooter>&amp;CPage &amp;P of &amp;N&amp;R&amp;F&amp;A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F40"/>
  <sheetViews>
    <sheetView workbookViewId="0">
      <selection activeCell="A40" sqref="A40"/>
    </sheetView>
  </sheetViews>
  <sheetFormatPr defaultRowHeight="12.5" x14ac:dyDescent="0.25"/>
  <cols>
    <col min="1" max="1" width="22.26953125" customWidth="1"/>
    <col min="2" max="2" width="21.1796875" customWidth="1"/>
    <col min="3" max="3" width="18" customWidth="1"/>
  </cols>
  <sheetData>
    <row r="2" spans="1:6" x14ac:dyDescent="0.25">
      <c r="A2" t="s">
        <v>15</v>
      </c>
      <c r="B2" t="s">
        <v>16</v>
      </c>
      <c r="C2" t="s">
        <v>17</v>
      </c>
    </row>
    <row r="3" spans="1:6" x14ac:dyDescent="0.25">
      <c r="A3" t="e">
        <f>#REF!</f>
        <v>#REF!</v>
      </c>
      <c r="B3" t="e">
        <f>#REF!</f>
        <v>#REF!</v>
      </c>
      <c r="C3" t="s">
        <v>7</v>
      </c>
    </row>
    <row r="6" spans="1:6" x14ac:dyDescent="0.25">
      <c r="A6" t="s">
        <v>15</v>
      </c>
      <c r="B6" t="s">
        <v>16</v>
      </c>
      <c r="C6" t="s">
        <v>17</v>
      </c>
    </row>
    <row r="7" spans="1:6" x14ac:dyDescent="0.25">
      <c r="A7" t="e">
        <f>#REF!</f>
        <v>#REF!</v>
      </c>
      <c r="B7" t="e">
        <f>#REF!</f>
        <v>#REF!</v>
      </c>
      <c r="C7" t="s">
        <v>9</v>
      </c>
    </row>
    <row r="8" spans="1:6" x14ac:dyDescent="0.25">
      <c r="E8" t="s">
        <v>1</v>
      </c>
    </row>
    <row r="9" spans="1:6" x14ac:dyDescent="0.25">
      <c r="E9" t="e">
        <f>DSUM(MyData,"FeeCount",CriteriaHUP)</f>
        <v>#REF!</v>
      </c>
      <c r="F9" t="s">
        <v>2</v>
      </c>
    </row>
    <row r="10" spans="1:6" x14ac:dyDescent="0.25">
      <c r="A10" t="s">
        <v>15</v>
      </c>
      <c r="B10" t="s">
        <v>16</v>
      </c>
      <c r="C10" t="s">
        <v>17</v>
      </c>
      <c r="E10" t="e">
        <f>DSUM(MyData,"Fee",CriteriaHUP)</f>
        <v>#REF!</v>
      </c>
      <c r="F10" t="s">
        <v>3</v>
      </c>
    </row>
    <row r="11" spans="1:6" x14ac:dyDescent="0.25">
      <c r="A11" t="e">
        <f>#REF!</f>
        <v>#REF!</v>
      </c>
      <c r="B11" t="e">
        <f>#REF!</f>
        <v>#REF!</v>
      </c>
      <c r="C11" t="s">
        <v>0</v>
      </c>
    </row>
    <row r="14" spans="1:6" x14ac:dyDescent="0.25">
      <c r="A14" t="s">
        <v>15</v>
      </c>
      <c r="B14" t="s">
        <v>16</v>
      </c>
      <c r="C14" t="s">
        <v>17</v>
      </c>
    </row>
    <row r="15" spans="1:6" x14ac:dyDescent="0.25">
      <c r="A15" t="e">
        <f>#REF!</f>
        <v>#REF!</v>
      </c>
      <c r="B15" t="e">
        <f>#REF!</f>
        <v>#REF!</v>
      </c>
      <c r="C15" t="s">
        <v>6</v>
      </c>
    </row>
    <row r="18" spans="1:4" x14ac:dyDescent="0.25">
      <c r="A18" t="s">
        <v>15</v>
      </c>
      <c r="B18" t="s">
        <v>16</v>
      </c>
      <c r="C18" t="s">
        <v>17</v>
      </c>
      <c r="D18" s="2" t="s">
        <v>18</v>
      </c>
    </row>
    <row r="19" spans="1:4" x14ac:dyDescent="0.25">
      <c r="A19" t="e">
        <f>#REF!</f>
        <v>#REF!</v>
      </c>
      <c r="B19" t="e">
        <f>#REF!</f>
        <v>#REF!</v>
      </c>
      <c r="C19" t="s">
        <v>0</v>
      </c>
      <c r="D19" t="s">
        <v>19</v>
      </c>
    </row>
    <row r="20" spans="1:4" x14ac:dyDescent="0.25">
      <c r="A20" s="1"/>
      <c r="B20" s="1"/>
      <c r="C20" s="1"/>
      <c r="D20" s="1"/>
    </row>
    <row r="21" spans="1:4" x14ac:dyDescent="0.25">
      <c r="A21" t="s">
        <v>15</v>
      </c>
      <c r="B21" t="s">
        <v>16</v>
      </c>
      <c r="C21" t="s">
        <v>17</v>
      </c>
      <c r="D21" s="2" t="s">
        <v>18</v>
      </c>
    </row>
    <row r="22" spans="1:4" x14ac:dyDescent="0.25">
      <c r="A22" t="e">
        <f>#REF!</f>
        <v>#REF!</v>
      </c>
      <c r="B22" t="e">
        <f>#REF!</f>
        <v>#REF!</v>
      </c>
      <c r="C22" t="s">
        <v>9</v>
      </c>
      <c r="D22" t="s">
        <v>19</v>
      </c>
    </row>
    <row r="24" spans="1:4" x14ac:dyDescent="0.25">
      <c r="A24" t="s">
        <v>15</v>
      </c>
      <c r="B24" t="s">
        <v>16</v>
      </c>
      <c r="C24" t="s">
        <v>17</v>
      </c>
      <c r="D24" s="2" t="s">
        <v>18</v>
      </c>
    </row>
    <row r="25" spans="1:4" x14ac:dyDescent="0.25">
      <c r="A25" t="e">
        <f>#REF!</f>
        <v>#REF!</v>
      </c>
      <c r="B25" t="e">
        <f>#REF!</f>
        <v>#REF!</v>
      </c>
      <c r="C25" t="s">
        <v>6</v>
      </c>
      <c r="D25" t="s">
        <v>19</v>
      </c>
    </row>
    <row r="26" spans="1:4" x14ac:dyDescent="0.25">
      <c r="A26" s="1"/>
      <c r="B26" s="1"/>
      <c r="C26" s="1"/>
      <c r="D26" s="1"/>
    </row>
    <row r="27" spans="1:4" x14ac:dyDescent="0.25">
      <c r="A27" t="s">
        <v>15</v>
      </c>
      <c r="B27" t="s">
        <v>16</v>
      </c>
      <c r="C27" t="s">
        <v>17</v>
      </c>
      <c r="D27" s="2" t="s">
        <v>18</v>
      </c>
    </row>
    <row r="28" spans="1:4" x14ac:dyDescent="0.25">
      <c r="A28" t="e">
        <f>#REF!</f>
        <v>#REF!</v>
      </c>
      <c r="B28" t="e">
        <f>#REF!</f>
        <v>#REF!</v>
      </c>
      <c r="C28" t="s">
        <v>7</v>
      </c>
      <c r="D28" t="s">
        <v>19</v>
      </c>
    </row>
    <row r="29" spans="1:4" x14ac:dyDescent="0.25">
      <c r="A29" s="1"/>
      <c r="B29" s="1"/>
      <c r="C29" s="1"/>
      <c r="D29" s="1"/>
    </row>
    <row r="30" spans="1:4" x14ac:dyDescent="0.25">
      <c r="A30" t="s">
        <v>15</v>
      </c>
      <c r="B30" t="s">
        <v>16</v>
      </c>
      <c r="C30" t="s">
        <v>17</v>
      </c>
      <c r="D30" s="2" t="s">
        <v>18</v>
      </c>
    </row>
    <row r="31" spans="1:4" x14ac:dyDescent="0.25">
      <c r="A31" t="e">
        <f>#REF!</f>
        <v>#REF!</v>
      </c>
      <c r="B31" t="e">
        <f>#REF!</f>
        <v>#REF!</v>
      </c>
      <c r="C31" t="s">
        <v>0</v>
      </c>
      <c r="D31" t="s">
        <v>20</v>
      </c>
    </row>
    <row r="32" spans="1:4" x14ac:dyDescent="0.25">
      <c r="A32" s="1"/>
      <c r="B32" s="1"/>
      <c r="C32" s="1"/>
      <c r="D32" s="1"/>
    </row>
    <row r="33" spans="1:4" x14ac:dyDescent="0.25">
      <c r="A33" t="s">
        <v>15</v>
      </c>
      <c r="B33" t="s">
        <v>16</v>
      </c>
      <c r="C33" t="s">
        <v>17</v>
      </c>
      <c r="D33" s="2" t="s">
        <v>18</v>
      </c>
    </row>
    <row r="34" spans="1:4" x14ac:dyDescent="0.25">
      <c r="A34" t="e">
        <f>#REF!</f>
        <v>#REF!</v>
      </c>
      <c r="B34" t="e">
        <f>#REF!</f>
        <v>#REF!</v>
      </c>
      <c r="C34" t="s">
        <v>9</v>
      </c>
      <c r="D34" t="s">
        <v>20</v>
      </c>
    </row>
    <row r="36" spans="1:4" x14ac:dyDescent="0.25">
      <c r="A36" t="s">
        <v>15</v>
      </c>
      <c r="B36" t="s">
        <v>16</v>
      </c>
      <c r="C36" t="s">
        <v>17</v>
      </c>
      <c r="D36" s="2" t="s">
        <v>18</v>
      </c>
    </row>
    <row r="37" spans="1:4" x14ac:dyDescent="0.25">
      <c r="A37" t="e">
        <f>#REF!</f>
        <v>#REF!</v>
      </c>
      <c r="B37" t="e">
        <f>#REF!</f>
        <v>#REF!</v>
      </c>
      <c r="C37" t="s">
        <v>6</v>
      </c>
      <c r="D37" t="s">
        <v>20</v>
      </c>
    </row>
    <row r="38" spans="1:4" x14ac:dyDescent="0.25">
      <c r="A38" s="1"/>
      <c r="B38" s="1"/>
      <c r="C38" s="1"/>
      <c r="D38" s="1"/>
    </row>
    <row r="39" spans="1:4" x14ac:dyDescent="0.25">
      <c r="A39" t="s">
        <v>15</v>
      </c>
      <c r="B39" t="s">
        <v>16</v>
      </c>
      <c r="C39" t="s">
        <v>17</v>
      </c>
      <c r="D39" s="2" t="s">
        <v>18</v>
      </c>
    </row>
    <row r="40" spans="1:4" x14ac:dyDescent="0.25">
      <c r="A40" t="e">
        <f>#REF!</f>
        <v>#REF!</v>
      </c>
      <c r="B40" t="e">
        <f>#REF!</f>
        <v>#REF!</v>
      </c>
      <c r="C40" t="s">
        <v>7</v>
      </c>
      <c r="D40" t="s">
        <v>20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 filterMode="1"/>
  <dimension ref="A2:G98"/>
  <sheetViews>
    <sheetView workbookViewId="0">
      <pane ySplit="2" topLeftCell="A3" activePane="bottomLeft" state="frozen"/>
      <selection activeCell="C40" sqref="C40"/>
      <selection pane="bottomLeft" activeCell="E24" sqref="E24"/>
    </sheetView>
  </sheetViews>
  <sheetFormatPr defaultColWidth="9.1796875" defaultRowHeight="12.5" x14ac:dyDescent="0.25"/>
  <cols>
    <col min="1" max="1" width="23.81640625" style="4" bestFit="1" customWidth="1"/>
    <col min="2" max="2" width="20" style="4" bestFit="1" customWidth="1"/>
    <col min="3" max="5" width="40.54296875" style="4" bestFit="1" customWidth="1"/>
    <col min="6" max="6" width="21.81640625" style="5" customWidth="1"/>
    <col min="7" max="7" width="18" style="5" customWidth="1"/>
    <col min="8" max="16384" width="9.1796875" style="4"/>
  </cols>
  <sheetData>
    <row r="2" spans="1:7" s="3" customFormat="1" ht="39" x14ac:dyDescent="0.25">
      <c r="A2" s="3" t="s">
        <v>28</v>
      </c>
      <c r="B2" s="3" t="s">
        <v>10</v>
      </c>
      <c r="C2" s="3" t="s">
        <v>29</v>
      </c>
      <c r="D2" s="3" t="s">
        <v>30</v>
      </c>
      <c r="E2" s="3" t="s">
        <v>31</v>
      </c>
      <c r="F2" s="3" t="s">
        <v>32</v>
      </c>
      <c r="G2" s="3" t="s">
        <v>33</v>
      </c>
    </row>
    <row r="3" spans="1:7" hidden="1" x14ac:dyDescent="0.25">
      <c r="A3" s="4" t="s">
        <v>23</v>
      </c>
      <c r="B3" s="4" t="s">
        <v>4</v>
      </c>
      <c r="C3" s="4" t="s">
        <v>34</v>
      </c>
      <c r="D3" s="4" t="s">
        <v>34</v>
      </c>
      <c r="E3" s="4" t="s">
        <v>34</v>
      </c>
      <c r="F3" s="5" t="str">
        <f>+IF(C3=D3,"MATCH","MISMATCH")</f>
        <v>MATCH</v>
      </c>
      <c r="G3" s="5" t="str">
        <f>+IF(D3=E3,"MATCH","MISMATCH")</f>
        <v>MATCH</v>
      </c>
    </row>
    <row r="4" spans="1:7" hidden="1" x14ac:dyDescent="0.25">
      <c r="A4" s="4" t="s">
        <v>23</v>
      </c>
      <c r="B4" s="4" t="s">
        <v>5</v>
      </c>
      <c r="C4" s="4" t="s">
        <v>35</v>
      </c>
      <c r="D4" s="4" t="s">
        <v>35</v>
      </c>
      <c r="E4" s="4" t="s">
        <v>35</v>
      </c>
      <c r="F4" s="5" t="str">
        <f t="shared" ref="F4:G60" si="0">+IF(C4=D4,"MATCH","MISMATCH")</f>
        <v>MATCH</v>
      </c>
      <c r="G4" s="5" t="str">
        <f t="shared" si="0"/>
        <v>MATCH</v>
      </c>
    </row>
    <row r="5" spans="1:7" hidden="1" x14ac:dyDescent="0.25">
      <c r="A5" s="4" t="s">
        <v>23</v>
      </c>
      <c r="B5" s="4" t="s">
        <v>8</v>
      </c>
      <c r="C5" s="4" t="s">
        <v>36</v>
      </c>
      <c r="D5" s="4" t="s">
        <v>36</v>
      </c>
      <c r="E5" s="4" t="s">
        <v>36</v>
      </c>
      <c r="F5" s="5" t="str">
        <f t="shared" si="0"/>
        <v>MATCH</v>
      </c>
      <c r="G5" s="5" t="str">
        <f t="shared" si="0"/>
        <v>MATCH</v>
      </c>
    </row>
    <row r="6" spans="1:7" hidden="1" x14ac:dyDescent="0.25">
      <c r="A6" s="4" t="s">
        <v>23</v>
      </c>
      <c r="B6" s="4" t="s">
        <v>11</v>
      </c>
      <c r="C6" s="4" t="s">
        <v>37</v>
      </c>
      <c r="D6" s="4" t="s">
        <v>37</v>
      </c>
      <c r="E6" s="4" t="s">
        <v>37</v>
      </c>
      <c r="F6" s="5" t="str">
        <f t="shared" si="0"/>
        <v>MATCH</v>
      </c>
      <c r="G6" s="5" t="str">
        <f t="shared" si="0"/>
        <v>MATCH</v>
      </c>
    </row>
    <row r="7" spans="1:7" hidden="1" x14ac:dyDescent="0.25">
      <c r="A7" s="4" t="s">
        <v>23</v>
      </c>
      <c r="B7" s="4" t="s">
        <v>12</v>
      </c>
      <c r="C7" s="4" t="s">
        <v>38</v>
      </c>
      <c r="D7" s="4" t="s">
        <v>38</v>
      </c>
      <c r="E7" s="4" t="s">
        <v>38</v>
      </c>
      <c r="F7" s="5" t="str">
        <f t="shared" si="0"/>
        <v>MATCH</v>
      </c>
      <c r="G7" s="5" t="str">
        <f t="shared" si="0"/>
        <v>MATCH</v>
      </c>
    </row>
    <row r="8" spans="1:7" x14ac:dyDescent="0.25">
      <c r="A8" s="4" t="s">
        <v>23</v>
      </c>
      <c r="B8" s="6" t="s">
        <v>75</v>
      </c>
      <c r="C8" s="4" t="s">
        <v>76</v>
      </c>
      <c r="D8" s="4" t="s">
        <v>76</v>
      </c>
      <c r="E8" s="4" t="s">
        <v>76</v>
      </c>
      <c r="F8" s="5" t="str">
        <f t="shared" si="0"/>
        <v>MATCH</v>
      </c>
      <c r="G8" s="5" t="str">
        <f t="shared" si="0"/>
        <v>MATCH</v>
      </c>
    </row>
    <row r="9" spans="1:7" hidden="1" x14ac:dyDescent="0.25">
      <c r="A9" s="4" t="s">
        <v>23</v>
      </c>
      <c r="B9" s="4" t="s">
        <v>13</v>
      </c>
      <c r="C9" s="4" t="s">
        <v>37</v>
      </c>
      <c r="D9" s="4" t="s">
        <v>37</v>
      </c>
      <c r="E9" s="4" t="s">
        <v>37</v>
      </c>
      <c r="F9" s="5" t="str">
        <f t="shared" si="0"/>
        <v>MATCH</v>
      </c>
      <c r="G9" s="5" t="str">
        <f t="shared" si="0"/>
        <v>MATCH</v>
      </c>
    </row>
    <row r="10" spans="1:7" hidden="1" x14ac:dyDescent="0.25">
      <c r="A10" s="4" t="s">
        <v>23</v>
      </c>
      <c r="B10" s="4" t="s">
        <v>14</v>
      </c>
      <c r="C10" s="4" t="s">
        <v>38</v>
      </c>
      <c r="D10" s="4" t="s">
        <v>38</v>
      </c>
      <c r="E10" s="4" t="s">
        <v>38</v>
      </c>
      <c r="F10" s="5" t="str">
        <f t="shared" si="0"/>
        <v>MATCH</v>
      </c>
      <c r="G10" s="5" t="str">
        <f t="shared" si="0"/>
        <v>MATCH</v>
      </c>
    </row>
    <row r="11" spans="1:7" hidden="1" x14ac:dyDescent="0.25">
      <c r="A11" s="4" t="s">
        <v>26</v>
      </c>
      <c r="B11" s="4" t="s">
        <v>4</v>
      </c>
      <c r="C11" s="4" t="s">
        <v>39</v>
      </c>
      <c r="D11" s="4" t="s">
        <v>39</v>
      </c>
      <c r="E11" s="4" t="s">
        <v>39</v>
      </c>
      <c r="F11" s="5" t="str">
        <f t="shared" si="0"/>
        <v>MATCH</v>
      </c>
      <c r="G11" s="5" t="str">
        <f t="shared" si="0"/>
        <v>MATCH</v>
      </c>
    </row>
    <row r="12" spans="1:7" hidden="1" x14ac:dyDescent="0.25">
      <c r="A12" s="4" t="s">
        <v>26</v>
      </c>
      <c r="B12" s="4" t="s">
        <v>5</v>
      </c>
      <c r="C12" s="4" t="s">
        <v>40</v>
      </c>
      <c r="D12" s="4" t="s">
        <v>40</v>
      </c>
      <c r="E12" s="4" t="s">
        <v>40</v>
      </c>
      <c r="F12" s="5" t="str">
        <f t="shared" si="0"/>
        <v>MATCH</v>
      </c>
      <c r="G12" s="5" t="str">
        <f t="shared" si="0"/>
        <v>MATCH</v>
      </c>
    </row>
    <row r="13" spans="1:7" hidden="1" x14ac:dyDescent="0.25">
      <c r="A13" s="4" t="s">
        <v>26</v>
      </c>
      <c r="B13" s="4" t="s">
        <v>8</v>
      </c>
      <c r="C13" s="4" t="s">
        <v>41</v>
      </c>
      <c r="D13" s="4" t="s">
        <v>41</v>
      </c>
      <c r="E13" s="4" t="s">
        <v>41</v>
      </c>
      <c r="F13" s="5" t="str">
        <f t="shared" si="0"/>
        <v>MATCH</v>
      </c>
      <c r="G13" s="5" t="str">
        <f t="shared" si="0"/>
        <v>MATCH</v>
      </c>
    </row>
    <row r="14" spans="1:7" hidden="1" x14ac:dyDescent="0.25">
      <c r="A14" s="4" t="s">
        <v>26</v>
      </c>
      <c r="B14" s="4" t="s">
        <v>11</v>
      </c>
      <c r="C14" s="4" t="s">
        <v>42</v>
      </c>
      <c r="D14" s="4" t="s">
        <v>42</v>
      </c>
      <c r="E14" s="4" t="s">
        <v>42</v>
      </c>
      <c r="F14" s="5" t="str">
        <f t="shared" si="0"/>
        <v>MATCH</v>
      </c>
      <c r="G14" s="5" t="str">
        <f t="shared" si="0"/>
        <v>MATCH</v>
      </c>
    </row>
    <row r="15" spans="1:7" hidden="1" x14ac:dyDescent="0.25">
      <c r="A15" s="4" t="s">
        <v>26</v>
      </c>
      <c r="B15" s="4" t="s">
        <v>12</v>
      </c>
      <c r="C15" s="4" t="s">
        <v>43</v>
      </c>
      <c r="D15" s="4" t="s">
        <v>43</v>
      </c>
      <c r="E15" s="4" t="s">
        <v>43</v>
      </c>
      <c r="F15" s="5" t="str">
        <f t="shared" si="0"/>
        <v>MATCH</v>
      </c>
      <c r="G15" s="5" t="str">
        <f t="shared" si="0"/>
        <v>MATCH</v>
      </c>
    </row>
    <row r="16" spans="1:7" x14ac:dyDescent="0.25">
      <c r="A16" s="4" t="s">
        <v>26</v>
      </c>
      <c r="B16" s="6" t="s">
        <v>75</v>
      </c>
      <c r="C16" s="4" t="s">
        <v>76</v>
      </c>
      <c r="D16" s="4" t="s">
        <v>76</v>
      </c>
      <c r="E16" s="4" t="s">
        <v>76</v>
      </c>
      <c r="F16" s="5" t="str">
        <f t="shared" si="0"/>
        <v>MATCH</v>
      </c>
      <c r="G16" s="5" t="str">
        <f t="shared" si="0"/>
        <v>MATCH</v>
      </c>
    </row>
    <row r="17" spans="1:7" hidden="1" x14ac:dyDescent="0.25">
      <c r="A17" s="4" t="s">
        <v>26</v>
      </c>
      <c r="B17" s="4" t="s">
        <v>13</v>
      </c>
      <c r="C17" s="4" t="s">
        <v>42</v>
      </c>
      <c r="D17" s="4" t="s">
        <v>42</v>
      </c>
      <c r="E17" s="4" t="s">
        <v>42</v>
      </c>
      <c r="F17" s="5" t="str">
        <f t="shared" si="0"/>
        <v>MATCH</v>
      </c>
      <c r="G17" s="5" t="str">
        <f t="shared" si="0"/>
        <v>MATCH</v>
      </c>
    </row>
    <row r="18" spans="1:7" hidden="1" x14ac:dyDescent="0.25">
      <c r="A18" s="4" t="s">
        <v>26</v>
      </c>
      <c r="B18" s="4" t="s">
        <v>14</v>
      </c>
      <c r="C18" s="4" t="s">
        <v>43</v>
      </c>
      <c r="D18" s="4" t="s">
        <v>43</v>
      </c>
      <c r="E18" s="4" t="s">
        <v>43</v>
      </c>
      <c r="F18" s="5" t="str">
        <f t="shared" si="0"/>
        <v>MATCH</v>
      </c>
      <c r="G18" s="5" t="str">
        <f t="shared" si="0"/>
        <v>MATCH</v>
      </c>
    </row>
    <row r="19" spans="1:7" hidden="1" x14ac:dyDescent="0.25">
      <c r="A19" s="4" t="s">
        <v>24</v>
      </c>
      <c r="B19" s="4" t="s">
        <v>4</v>
      </c>
      <c r="C19" s="4" t="s">
        <v>39</v>
      </c>
      <c r="D19" s="4" t="s">
        <v>39</v>
      </c>
      <c r="E19" s="4" t="s">
        <v>39</v>
      </c>
      <c r="F19" s="5" t="str">
        <f t="shared" si="0"/>
        <v>MATCH</v>
      </c>
      <c r="G19" s="5" t="str">
        <f t="shared" si="0"/>
        <v>MATCH</v>
      </c>
    </row>
    <row r="20" spans="1:7" hidden="1" x14ac:dyDescent="0.25">
      <c r="A20" s="4" t="s">
        <v>24</v>
      </c>
      <c r="B20" s="4" t="s">
        <v>5</v>
      </c>
      <c r="C20" s="4" t="s">
        <v>40</v>
      </c>
      <c r="D20" s="4" t="s">
        <v>40</v>
      </c>
      <c r="E20" s="4" t="s">
        <v>40</v>
      </c>
      <c r="F20" s="5" t="str">
        <f t="shared" si="0"/>
        <v>MATCH</v>
      </c>
      <c r="G20" s="5" t="str">
        <f t="shared" si="0"/>
        <v>MATCH</v>
      </c>
    </row>
    <row r="21" spans="1:7" hidden="1" x14ac:dyDescent="0.25">
      <c r="A21" s="4" t="s">
        <v>24</v>
      </c>
      <c r="B21" s="4" t="s">
        <v>8</v>
      </c>
      <c r="C21" s="4" t="s">
        <v>41</v>
      </c>
      <c r="D21" s="4" t="s">
        <v>41</v>
      </c>
      <c r="E21" s="4" t="s">
        <v>41</v>
      </c>
      <c r="F21" s="5" t="str">
        <f t="shared" si="0"/>
        <v>MATCH</v>
      </c>
      <c r="G21" s="5" t="str">
        <f t="shared" si="0"/>
        <v>MATCH</v>
      </c>
    </row>
    <row r="22" spans="1:7" hidden="1" x14ac:dyDescent="0.25">
      <c r="A22" s="4" t="s">
        <v>24</v>
      </c>
      <c r="B22" s="4" t="s">
        <v>11</v>
      </c>
      <c r="C22" s="4" t="s">
        <v>42</v>
      </c>
      <c r="D22" s="4" t="s">
        <v>42</v>
      </c>
      <c r="E22" s="4" t="s">
        <v>42</v>
      </c>
      <c r="F22" s="5" t="str">
        <f t="shared" si="0"/>
        <v>MATCH</v>
      </c>
      <c r="G22" s="5" t="str">
        <f t="shared" si="0"/>
        <v>MATCH</v>
      </c>
    </row>
    <row r="23" spans="1:7" hidden="1" x14ac:dyDescent="0.25">
      <c r="A23" s="4" t="s">
        <v>24</v>
      </c>
      <c r="B23" s="4" t="s">
        <v>12</v>
      </c>
      <c r="C23" s="4" t="s">
        <v>43</v>
      </c>
      <c r="D23" s="4" t="s">
        <v>43</v>
      </c>
      <c r="E23" s="4" t="s">
        <v>43</v>
      </c>
      <c r="F23" s="5" t="str">
        <f t="shared" si="0"/>
        <v>MATCH</v>
      </c>
      <c r="G23" s="5" t="str">
        <f t="shared" si="0"/>
        <v>MATCH</v>
      </c>
    </row>
    <row r="24" spans="1:7" x14ac:dyDescent="0.25">
      <c r="A24" s="4" t="s">
        <v>24</v>
      </c>
      <c r="B24" s="6" t="s">
        <v>75</v>
      </c>
      <c r="C24" s="4" t="s">
        <v>76</v>
      </c>
      <c r="D24" s="4" t="s">
        <v>76</v>
      </c>
      <c r="E24" s="4" t="s">
        <v>76</v>
      </c>
      <c r="F24" s="5" t="str">
        <f t="shared" si="0"/>
        <v>MATCH</v>
      </c>
      <c r="G24" s="5" t="str">
        <f t="shared" si="0"/>
        <v>MATCH</v>
      </c>
    </row>
    <row r="25" spans="1:7" hidden="1" x14ac:dyDescent="0.25">
      <c r="A25" s="4" t="s">
        <v>24</v>
      </c>
      <c r="B25" s="4" t="s">
        <v>13</v>
      </c>
      <c r="C25" s="4" t="s">
        <v>42</v>
      </c>
      <c r="D25" s="4" t="s">
        <v>42</v>
      </c>
      <c r="E25" s="4" t="s">
        <v>42</v>
      </c>
      <c r="F25" s="5" t="str">
        <f t="shared" si="0"/>
        <v>MATCH</v>
      </c>
      <c r="G25" s="5" t="str">
        <f t="shared" si="0"/>
        <v>MATCH</v>
      </c>
    </row>
    <row r="26" spans="1:7" hidden="1" x14ac:dyDescent="0.25">
      <c r="A26" s="4" t="s">
        <v>24</v>
      </c>
      <c r="B26" s="4" t="s">
        <v>14</v>
      </c>
      <c r="C26" s="4" t="s">
        <v>43</v>
      </c>
      <c r="D26" s="4" t="s">
        <v>43</v>
      </c>
      <c r="E26" s="4" t="s">
        <v>43</v>
      </c>
      <c r="F26" s="5" t="str">
        <f t="shared" si="0"/>
        <v>MATCH</v>
      </c>
      <c r="G26" s="5" t="str">
        <f t="shared" si="0"/>
        <v>MATCH</v>
      </c>
    </row>
    <row r="27" spans="1:7" hidden="1" x14ac:dyDescent="0.25">
      <c r="A27" s="4" t="s">
        <v>22</v>
      </c>
      <c r="B27" s="4" t="s">
        <v>4</v>
      </c>
      <c r="C27" s="4" t="s">
        <v>44</v>
      </c>
      <c r="D27" s="4" t="s">
        <v>44</v>
      </c>
      <c r="E27" s="4" t="s">
        <v>44</v>
      </c>
      <c r="F27" s="5" t="str">
        <f t="shared" si="0"/>
        <v>MATCH</v>
      </c>
      <c r="G27" s="5" t="str">
        <f t="shared" si="0"/>
        <v>MATCH</v>
      </c>
    </row>
    <row r="28" spans="1:7" hidden="1" x14ac:dyDescent="0.25">
      <c r="A28" s="4" t="s">
        <v>22</v>
      </c>
      <c r="B28" s="4" t="s">
        <v>5</v>
      </c>
      <c r="C28" s="4" t="s">
        <v>45</v>
      </c>
      <c r="D28" s="4" t="s">
        <v>45</v>
      </c>
      <c r="E28" s="4" t="s">
        <v>45</v>
      </c>
      <c r="F28" s="5" t="str">
        <f t="shared" si="0"/>
        <v>MATCH</v>
      </c>
      <c r="G28" s="5" t="str">
        <f t="shared" si="0"/>
        <v>MATCH</v>
      </c>
    </row>
    <row r="29" spans="1:7" hidden="1" x14ac:dyDescent="0.25">
      <c r="A29" s="4" t="s">
        <v>22</v>
      </c>
      <c r="B29" s="4" t="s">
        <v>8</v>
      </c>
      <c r="C29" s="4" t="s">
        <v>46</v>
      </c>
      <c r="D29" s="4" t="s">
        <v>46</v>
      </c>
      <c r="E29" s="4" t="s">
        <v>46</v>
      </c>
      <c r="F29" s="5" t="str">
        <f t="shared" si="0"/>
        <v>MATCH</v>
      </c>
      <c r="G29" s="5" t="str">
        <f t="shared" si="0"/>
        <v>MATCH</v>
      </c>
    </row>
    <row r="30" spans="1:7" hidden="1" x14ac:dyDescent="0.25">
      <c r="A30" s="4" t="s">
        <v>22</v>
      </c>
      <c r="B30" s="4" t="s">
        <v>11</v>
      </c>
      <c r="C30" s="4" t="s">
        <v>47</v>
      </c>
      <c r="D30" s="4" t="s">
        <v>47</v>
      </c>
      <c r="E30" s="4" t="s">
        <v>47</v>
      </c>
      <c r="F30" s="5" t="str">
        <f t="shared" si="0"/>
        <v>MATCH</v>
      </c>
      <c r="G30" s="5" t="str">
        <f t="shared" si="0"/>
        <v>MATCH</v>
      </c>
    </row>
    <row r="31" spans="1:7" hidden="1" x14ac:dyDescent="0.25">
      <c r="A31" s="4" t="s">
        <v>22</v>
      </c>
      <c r="B31" s="4" t="s">
        <v>12</v>
      </c>
      <c r="C31" s="4" t="s">
        <v>48</v>
      </c>
      <c r="D31" s="4" t="s">
        <v>48</v>
      </c>
      <c r="E31" s="4" t="s">
        <v>48</v>
      </c>
      <c r="F31" s="5" t="str">
        <f t="shared" si="0"/>
        <v>MATCH</v>
      </c>
      <c r="G31" s="5" t="str">
        <f t="shared" si="0"/>
        <v>MATCH</v>
      </c>
    </row>
    <row r="32" spans="1:7" x14ac:dyDescent="0.25">
      <c r="A32" s="4" t="s">
        <v>22</v>
      </c>
      <c r="B32" s="6" t="s">
        <v>75</v>
      </c>
      <c r="C32" s="4" t="s">
        <v>76</v>
      </c>
      <c r="D32" s="4" t="s">
        <v>76</v>
      </c>
      <c r="E32" s="4" t="s">
        <v>76</v>
      </c>
      <c r="F32" s="5" t="str">
        <f t="shared" si="0"/>
        <v>MATCH</v>
      </c>
      <c r="G32" s="5" t="str">
        <f t="shared" si="0"/>
        <v>MATCH</v>
      </c>
    </row>
    <row r="33" spans="1:7" hidden="1" x14ac:dyDescent="0.25">
      <c r="A33" s="4" t="s">
        <v>22</v>
      </c>
      <c r="B33" s="4" t="s">
        <v>13</v>
      </c>
      <c r="C33" s="4" t="s">
        <v>47</v>
      </c>
      <c r="D33" s="4" t="s">
        <v>47</v>
      </c>
      <c r="E33" s="4" t="s">
        <v>47</v>
      </c>
      <c r="F33" s="5" t="str">
        <f t="shared" si="0"/>
        <v>MATCH</v>
      </c>
      <c r="G33" s="5" t="str">
        <f t="shared" si="0"/>
        <v>MATCH</v>
      </c>
    </row>
    <row r="34" spans="1:7" hidden="1" x14ac:dyDescent="0.25">
      <c r="A34" s="4" t="s">
        <v>22</v>
      </c>
      <c r="B34" s="4" t="s">
        <v>14</v>
      </c>
      <c r="C34" s="4" t="s">
        <v>48</v>
      </c>
      <c r="D34" s="4" t="s">
        <v>48</v>
      </c>
      <c r="E34" s="4" t="s">
        <v>48</v>
      </c>
      <c r="F34" s="5" t="str">
        <f t="shared" si="0"/>
        <v>MATCH</v>
      </c>
      <c r="G34" s="5" t="str">
        <f t="shared" si="0"/>
        <v>MATCH</v>
      </c>
    </row>
    <row r="35" spans="1:7" hidden="1" x14ac:dyDescent="0.25">
      <c r="A35" s="4" t="s">
        <v>27</v>
      </c>
      <c r="B35" s="4" t="s">
        <v>4</v>
      </c>
      <c r="C35" s="4" t="s">
        <v>49</v>
      </c>
      <c r="D35" s="4" t="s">
        <v>49</v>
      </c>
      <c r="E35" s="4" t="s">
        <v>49</v>
      </c>
      <c r="F35" s="5" t="str">
        <f t="shared" si="0"/>
        <v>MATCH</v>
      </c>
      <c r="G35" s="5" t="str">
        <f t="shared" si="0"/>
        <v>MATCH</v>
      </c>
    </row>
    <row r="36" spans="1:7" hidden="1" x14ac:dyDescent="0.25">
      <c r="A36" s="4" t="s">
        <v>27</v>
      </c>
      <c r="B36" s="4" t="s">
        <v>5</v>
      </c>
      <c r="C36" s="4" t="s">
        <v>50</v>
      </c>
      <c r="D36" s="4" t="s">
        <v>50</v>
      </c>
      <c r="E36" s="4" t="s">
        <v>50</v>
      </c>
      <c r="F36" s="5" t="str">
        <f t="shared" si="0"/>
        <v>MATCH</v>
      </c>
      <c r="G36" s="5" t="str">
        <f t="shared" si="0"/>
        <v>MATCH</v>
      </c>
    </row>
    <row r="37" spans="1:7" hidden="1" x14ac:dyDescent="0.25">
      <c r="A37" s="4" t="s">
        <v>27</v>
      </c>
      <c r="B37" s="4" t="s">
        <v>8</v>
      </c>
      <c r="C37" s="4" t="s">
        <v>51</v>
      </c>
      <c r="D37" s="4" t="s">
        <v>51</v>
      </c>
      <c r="E37" s="4" t="s">
        <v>51</v>
      </c>
      <c r="F37" s="5" t="str">
        <f t="shared" si="0"/>
        <v>MATCH</v>
      </c>
      <c r="G37" s="5" t="str">
        <f t="shared" si="0"/>
        <v>MATCH</v>
      </c>
    </row>
    <row r="38" spans="1:7" hidden="1" x14ac:dyDescent="0.25">
      <c r="A38" s="4" t="s">
        <v>27</v>
      </c>
      <c r="B38" s="4" t="s">
        <v>11</v>
      </c>
      <c r="C38" s="4" t="s">
        <v>52</v>
      </c>
      <c r="D38" s="4" t="s">
        <v>52</v>
      </c>
      <c r="E38" s="4" t="s">
        <v>52</v>
      </c>
      <c r="F38" s="5" t="str">
        <f t="shared" si="0"/>
        <v>MATCH</v>
      </c>
      <c r="G38" s="5" t="str">
        <f t="shared" si="0"/>
        <v>MATCH</v>
      </c>
    </row>
    <row r="39" spans="1:7" hidden="1" x14ac:dyDescent="0.25">
      <c r="A39" s="4" t="s">
        <v>27</v>
      </c>
      <c r="B39" s="4" t="s">
        <v>12</v>
      </c>
      <c r="C39" s="4" t="s">
        <v>53</v>
      </c>
      <c r="D39" s="4" t="s">
        <v>53</v>
      </c>
      <c r="E39" s="4" t="s">
        <v>53</v>
      </c>
      <c r="F39" s="5" t="str">
        <f t="shared" si="0"/>
        <v>MATCH</v>
      </c>
      <c r="G39" s="5" t="str">
        <f t="shared" si="0"/>
        <v>MATCH</v>
      </c>
    </row>
    <row r="40" spans="1:7" x14ac:dyDescent="0.25">
      <c r="A40" s="4" t="s">
        <v>27</v>
      </c>
      <c r="B40" s="6" t="s">
        <v>75</v>
      </c>
      <c r="C40" s="4" t="s">
        <v>76</v>
      </c>
      <c r="D40" s="4" t="s">
        <v>76</v>
      </c>
      <c r="E40" s="4" t="s">
        <v>76</v>
      </c>
      <c r="F40" s="5" t="str">
        <f t="shared" si="0"/>
        <v>MATCH</v>
      </c>
      <c r="G40" s="5" t="str">
        <f t="shared" si="0"/>
        <v>MATCH</v>
      </c>
    </row>
    <row r="41" spans="1:7" hidden="1" x14ac:dyDescent="0.25">
      <c r="A41" s="4" t="s">
        <v>27</v>
      </c>
      <c r="B41" s="4" t="s">
        <v>13</v>
      </c>
      <c r="C41" s="4" t="s">
        <v>52</v>
      </c>
      <c r="D41" s="4" t="s">
        <v>52</v>
      </c>
      <c r="E41" s="4" t="s">
        <v>52</v>
      </c>
      <c r="F41" s="5" t="str">
        <f t="shared" si="0"/>
        <v>MATCH</v>
      </c>
      <c r="G41" s="5" t="str">
        <f t="shared" si="0"/>
        <v>MATCH</v>
      </c>
    </row>
    <row r="42" spans="1:7" hidden="1" x14ac:dyDescent="0.25">
      <c r="A42" s="4" t="s">
        <v>27</v>
      </c>
      <c r="B42" s="4" t="s">
        <v>14</v>
      </c>
      <c r="C42" s="4" t="s">
        <v>53</v>
      </c>
      <c r="D42" s="4" t="s">
        <v>53</v>
      </c>
      <c r="E42" s="4" t="s">
        <v>53</v>
      </c>
      <c r="F42" s="5" t="str">
        <f t="shared" si="0"/>
        <v>MATCH</v>
      </c>
      <c r="G42" s="5" t="str">
        <f t="shared" si="0"/>
        <v>MATCH</v>
      </c>
    </row>
    <row r="43" spans="1:7" hidden="1" x14ac:dyDescent="0.25">
      <c r="A43" s="4" t="s">
        <v>54</v>
      </c>
      <c r="B43" s="4" t="s">
        <v>4</v>
      </c>
      <c r="C43" s="4" t="s">
        <v>55</v>
      </c>
      <c r="D43" s="4" t="s">
        <v>55</v>
      </c>
      <c r="E43" s="4" t="s">
        <v>55</v>
      </c>
      <c r="F43" s="5" t="str">
        <f t="shared" si="0"/>
        <v>MATCH</v>
      </c>
      <c r="G43" s="5" t="str">
        <f t="shared" si="0"/>
        <v>MATCH</v>
      </c>
    </row>
    <row r="44" spans="1:7" hidden="1" x14ac:dyDescent="0.25">
      <c r="A44" s="4" t="s">
        <v>54</v>
      </c>
      <c r="B44" s="4" t="s">
        <v>5</v>
      </c>
      <c r="C44" s="4" t="s">
        <v>56</v>
      </c>
      <c r="D44" s="4" t="s">
        <v>56</v>
      </c>
      <c r="E44" s="4" t="s">
        <v>56</v>
      </c>
      <c r="F44" s="5" t="str">
        <f t="shared" si="0"/>
        <v>MATCH</v>
      </c>
      <c r="G44" s="5" t="str">
        <f t="shared" si="0"/>
        <v>MATCH</v>
      </c>
    </row>
    <row r="45" spans="1:7" hidden="1" x14ac:dyDescent="0.25">
      <c r="A45" s="4" t="s">
        <v>54</v>
      </c>
      <c r="B45" s="4" t="s">
        <v>8</v>
      </c>
      <c r="C45" s="4" t="s">
        <v>57</v>
      </c>
      <c r="D45" s="4" t="s">
        <v>57</v>
      </c>
      <c r="E45" s="4" t="s">
        <v>57</v>
      </c>
      <c r="F45" s="5" t="str">
        <f t="shared" si="0"/>
        <v>MATCH</v>
      </c>
      <c r="G45" s="5" t="str">
        <f t="shared" si="0"/>
        <v>MATCH</v>
      </c>
    </row>
    <row r="46" spans="1:7" hidden="1" x14ac:dyDescent="0.25">
      <c r="A46" s="4" t="s">
        <v>54</v>
      </c>
      <c r="B46" s="4" t="s">
        <v>11</v>
      </c>
      <c r="C46" s="4" t="s">
        <v>52</v>
      </c>
      <c r="D46" s="4" t="s">
        <v>52</v>
      </c>
      <c r="E46" s="4" t="s">
        <v>52</v>
      </c>
      <c r="F46" s="5" t="str">
        <f t="shared" si="0"/>
        <v>MATCH</v>
      </c>
      <c r="G46" s="5" t="str">
        <f t="shared" si="0"/>
        <v>MATCH</v>
      </c>
    </row>
    <row r="47" spans="1:7" hidden="1" x14ac:dyDescent="0.25">
      <c r="A47" s="4" t="s">
        <v>54</v>
      </c>
      <c r="B47" s="4" t="s">
        <v>12</v>
      </c>
      <c r="C47" s="4" t="s">
        <v>58</v>
      </c>
      <c r="D47" s="4" t="s">
        <v>58</v>
      </c>
      <c r="E47" s="4" t="s">
        <v>58</v>
      </c>
      <c r="F47" s="5" t="str">
        <f t="shared" si="0"/>
        <v>MATCH</v>
      </c>
      <c r="G47" s="5" t="str">
        <f t="shared" si="0"/>
        <v>MATCH</v>
      </c>
    </row>
    <row r="48" spans="1:7" x14ac:dyDescent="0.25">
      <c r="A48" s="4" t="s">
        <v>54</v>
      </c>
      <c r="B48" s="6" t="s">
        <v>75</v>
      </c>
      <c r="C48" s="4" t="s">
        <v>76</v>
      </c>
      <c r="D48" s="4" t="s">
        <v>76</v>
      </c>
      <c r="E48" s="4" t="s">
        <v>76</v>
      </c>
      <c r="F48" s="5" t="str">
        <f t="shared" si="0"/>
        <v>MATCH</v>
      </c>
      <c r="G48" s="5" t="str">
        <f t="shared" si="0"/>
        <v>MATCH</v>
      </c>
    </row>
    <row r="49" spans="1:7" hidden="1" x14ac:dyDescent="0.25">
      <c r="A49" s="4" t="s">
        <v>54</v>
      </c>
      <c r="B49" s="4" t="s">
        <v>13</v>
      </c>
      <c r="C49" s="4" t="s">
        <v>52</v>
      </c>
      <c r="D49" s="4" t="s">
        <v>52</v>
      </c>
      <c r="E49" s="4" t="s">
        <v>52</v>
      </c>
      <c r="F49" s="5" t="str">
        <f t="shared" si="0"/>
        <v>MATCH</v>
      </c>
      <c r="G49" s="5" t="str">
        <f t="shared" si="0"/>
        <v>MATCH</v>
      </c>
    </row>
    <row r="50" spans="1:7" hidden="1" x14ac:dyDescent="0.25">
      <c r="A50" s="4" t="s">
        <v>54</v>
      </c>
      <c r="B50" s="4" t="s">
        <v>14</v>
      </c>
      <c r="C50" s="4" t="s">
        <v>58</v>
      </c>
      <c r="D50" s="4" t="s">
        <v>58</v>
      </c>
      <c r="E50" s="4" t="s">
        <v>58</v>
      </c>
      <c r="F50" s="5" t="str">
        <f t="shared" si="0"/>
        <v>MATCH</v>
      </c>
      <c r="G50" s="5" t="str">
        <f t="shared" si="0"/>
        <v>MATCH</v>
      </c>
    </row>
    <row r="51" spans="1:7" hidden="1" x14ac:dyDescent="0.25">
      <c r="A51" s="4" t="s">
        <v>59</v>
      </c>
      <c r="B51" s="4" t="s">
        <v>4</v>
      </c>
      <c r="C51" s="4" t="s">
        <v>34</v>
      </c>
      <c r="D51" s="4" t="s">
        <v>34</v>
      </c>
      <c r="E51" s="4" t="s">
        <v>34</v>
      </c>
      <c r="F51" s="5" t="str">
        <f t="shared" si="0"/>
        <v>MATCH</v>
      </c>
      <c r="G51" s="5" t="str">
        <f t="shared" si="0"/>
        <v>MATCH</v>
      </c>
    </row>
    <row r="52" spans="1:7" hidden="1" x14ac:dyDescent="0.25">
      <c r="A52" s="4" t="s">
        <v>59</v>
      </c>
      <c r="B52" s="4" t="s">
        <v>5</v>
      </c>
      <c r="C52" s="4" t="s">
        <v>35</v>
      </c>
      <c r="D52" s="4" t="s">
        <v>35</v>
      </c>
      <c r="E52" s="4" t="s">
        <v>35</v>
      </c>
      <c r="F52" s="5" t="str">
        <f t="shared" si="0"/>
        <v>MATCH</v>
      </c>
      <c r="G52" s="5" t="str">
        <f t="shared" si="0"/>
        <v>MATCH</v>
      </c>
    </row>
    <row r="53" spans="1:7" hidden="1" x14ac:dyDescent="0.25">
      <c r="A53" s="4" t="s">
        <v>59</v>
      </c>
      <c r="B53" s="4" t="s">
        <v>8</v>
      </c>
      <c r="C53" s="4" t="s">
        <v>36</v>
      </c>
      <c r="D53" s="4" t="s">
        <v>36</v>
      </c>
      <c r="E53" s="4" t="s">
        <v>36</v>
      </c>
      <c r="F53" s="5" t="str">
        <f t="shared" si="0"/>
        <v>MATCH</v>
      </c>
      <c r="G53" s="5" t="str">
        <f t="shared" si="0"/>
        <v>MATCH</v>
      </c>
    </row>
    <row r="54" spans="1:7" hidden="1" x14ac:dyDescent="0.25">
      <c r="A54" s="4" t="s">
        <v>59</v>
      </c>
      <c r="B54" s="4" t="s">
        <v>11</v>
      </c>
      <c r="C54" s="4" t="s">
        <v>37</v>
      </c>
      <c r="D54" s="4" t="s">
        <v>37</v>
      </c>
      <c r="E54" s="4" t="s">
        <v>37</v>
      </c>
      <c r="F54" s="5" t="str">
        <f t="shared" si="0"/>
        <v>MATCH</v>
      </c>
      <c r="G54" s="5" t="str">
        <f t="shared" si="0"/>
        <v>MATCH</v>
      </c>
    </row>
    <row r="55" spans="1:7" hidden="1" x14ac:dyDescent="0.25">
      <c r="A55" s="4" t="s">
        <v>59</v>
      </c>
      <c r="B55" s="4" t="s">
        <v>12</v>
      </c>
      <c r="C55" s="4" t="s">
        <v>38</v>
      </c>
      <c r="D55" s="4" t="s">
        <v>38</v>
      </c>
      <c r="E55" s="4" t="s">
        <v>38</v>
      </c>
      <c r="F55" s="5" t="str">
        <f t="shared" si="0"/>
        <v>MATCH</v>
      </c>
      <c r="G55" s="5" t="str">
        <f t="shared" si="0"/>
        <v>MATCH</v>
      </c>
    </row>
    <row r="56" spans="1:7" x14ac:dyDescent="0.25">
      <c r="A56" s="4" t="s">
        <v>59</v>
      </c>
      <c r="B56" s="6" t="s">
        <v>75</v>
      </c>
      <c r="C56" s="4" t="s">
        <v>76</v>
      </c>
      <c r="D56" s="4" t="s">
        <v>76</v>
      </c>
      <c r="E56" s="4" t="s">
        <v>76</v>
      </c>
      <c r="F56" s="5" t="str">
        <f t="shared" si="0"/>
        <v>MATCH</v>
      </c>
      <c r="G56" s="5" t="str">
        <f t="shared" si="0"/>
        <v>MATCH</v>
      </c>
    </row>
    <row r="57" spans="1:7" hidden="1" x14ac:dyDescent="0.25">
      <c r="A57" s="4" t="s">
        <v>59</v>
      </c>
      <c r="B57" s="4" t="s">
        <v>13</v>
      </c>
      <c r="C57" s="4" t="s">
        <v>37</v>
      </c>
      <c r="D57" s="4" t="s">
        <v>37</v>
      </c>
      <c r="E57" s="4" t="s">
        <v>37</v>
      </c>
      <c r="F57" s="5" t="str">
        <f t="shared" si="0"/>
        <v>MATCH</v>
      </c>
      <c r="G57" s="5" t="str">
        <f t="shared" si="0"/>
        <v>MATCH</v>
      </c>
    </row>
    <row r="58" spans="1:7" hidden="1" x14ac:dyDescent="0.25">
      <c r="A58" s="4" t="s">
        <v>59</v>
      </c>
      <c r="B58" s="4" t="s">
        <v>14</v>
      </c>
      <c r="C58" s="4" t="s">
        <v>38</v>
      </c>
      <c r="D58" s="4" t="s">
        <v>38</v>
      </c>
      <c r="E58" s="4" t="s">
        <v>38</v>
      </c>
      <c r="F58" s="5" t="str">
        <f t="shared" si="0"/>
        <v>MATCH</v>
      </c>
      <c r="G58" s="5" t="str">
        <f t="shared" si="0"/>
        <v>MATCH</v>
      </c>
    </row>
    <row r="59" spans="1:7" hidden="1" x14ac:dyDescent="0.25">
      <c r="A59" s="4" t="s">
        <v>25</v>
      </c>
      <c r="B59" s="4" t="s">
        <v>4</v>
      </c>
      <c r="C59" s="4" t="s">
        <v>44</v>
      </c>
      <c r="D59" s="4" t="s">
        <v>44</v>
      </c>
      <c r="E59" s="4" t="s">
        <v>60</v>
      </c>
      <c r="F59" s="5" t="str">
        <f t="shared" si="0"/>
        <v>MATCH</v>
      </c>
      <c r="G59" s="5" t="str">
        <f t="shared" si="0"/>
        <v>MISMATCH</v>
      </c>
    </row>
    <row r="60" spans="1:7" hidden="1" x14ac:dyDescent="0.25">
      <c r="A60" s="4" t="s">
        <v>25</v>
      </c>
      <c r="B60" s="4" t="s">
        <v>5</v>
      </c>
      <c r="C60" s="4" t="s">
        <v>45</v>
      </c>
      <c r="D60" s="4" t="s">
        <v>45</v>
      </c>
      <c r="E60" s="4" t="s">
        <v>60</v>
      </c>
      <c r="F60" s="5" t="str">
        <f t="shared" si="0"/>
        <v>MATCH</v>
      </c>
      <c r="G60" s="5" t="str">
        <f t="shared" si="0"/>
        <v>MISMATCH</v>
      </c>
    </row>
    <row r="61" spans="1:7" hidden="1" x14ac:dyDescent="0.25">
      <c r="A61" s="4" t="s">
        <v>25</v>
      </c>
      <c r="B61" s="4" t="s">
        <v>8</v>
      </c>
      <c r="C61" s="4" t="s">
        <v>46</v>
      </c>
      <c r="D61" s="4" t="s">
        <v>46</v>
      </c>
      <c r="E61" s="4" t="s">
        <v>60</v>
      </c>
      <c r="F61" s="5" t="str">
        <f t="shared" ref="F61:G90" si="1">+IF(C61=D61,"MATCH","MISMATCH")</f>
        <v>MATCH</v>
      </c>
      <c r="G61" s="5" t="str">
        <f t="shared" si="1"/>
        <v>MISMATCH</v>
      </c>
    </row>
    <row r="62" spans="1:7" hidden="1" x14ac:dyDescent="0.25">
      <c r="A62" s="4" t="s">
        <v>25</v>
      </c>
      <c r="B62" s="4" t="s">
        <v>11</v>
      </c>
      <c r="C62" s="4" t="s">
        <v>47</v>
      </c>
      <c r="D62" s="4" t="s">
        <v>47</v>
      </c>
      <c r="E62" s="4" t="s">
        <v>60</v>
      </c>
      <c r="F62" s="5" t="str">
        <f t="shared" si="1"/>
        <v>MATCH</v>
      </c>
      <c r="G62" s="5" t="str">
        <f t="shared" si="1"/>
        <v>MISMATCH</v>
      </c>
    </row>
    <row r="63" spans="1:7" hidden="1" x14ac:dyDescent="0.25">
      <c r="A63" s="4" t="s">
        <v>25</v>
      </c>
      <c r="B63" s="4" t="s">
        <v>12</v>
      </c>
      <c r="C63" s="4" t="s">
        <v>61</v>
      </c>
      <c r="D63" s="4" t="s">
        <v>61</v>
      </c>
      <c r="E63" s="4" t="s">
        <v>60</v>
      </c>
      <c r="F63" s="5" t="str">
        <f t="shared" si="1"/>
        <v>MATCH</v>
      </c>
      <c r="G63" s="5" t="str">
        <f t="shared" si="1"/>
        <v>MISMATCH</v>
      </c>
    </row>
    <row r="64" spans="1:7" x14ac:dyDescent="0.25">
      <c r="A64" s="4" t="s">
        <v>25</v>
      </c>
      <c r="B64" s="6" t="s">
        <v>75</v>
      </c>
      <c r="C64" s="4" t="s">
        <v>76</v>
      </c>
      <c r="D64" s="4" t="s">
        <v>76</v>
      </c>
      <c r="E64" s="4" t="s">
        <v>60</v>
      </c>
      <c r="F64" s="5" t="str">
        <f t="shared" si="1"/>
        <v>MATCH</v>
      </c>
      <c r="G64" s="5" t="str">
        <f t="shared" si="1"/>
        <v>MISMATCH</v>
      </c>
    </row>
    <row r="65" spans="1:7" hidden="1" x14ac:dyDescent="0.25">
      <c r="A65" s="4" t="s">
        <v>25</v>
      </c>
      <c r="B65" s="4" t="s">
        <v>13</v>
      </c>
      <c r="C65" s="4" t="s">
        <v>47</v>
      </c>
      <c r="D65" s="4" t="s">
        <v>47</v>
      </c>
      <c r="E65" s="4" t="s">
        <v>60</v>
      </c>
      <c r="F65" s="5" t="str">
        <f t="shared" si="1"/>
        <v>MATCH</v>
      </c>
      <c r="G65" s="5" t="str">
        <f t="shared" si="1"/>
        <v>MISMATCH</v>
      </c>
    </row>
    <row r="66" spans="1:7" hidden="1" x14ac:dyDescent="0.25">
      <c r="A66" s="4" t="s">
        <v>25</v>
      </c>
      <c r="B66" s="4" t="s">
        <v>14</v>
      </c>
      <c r="C66" s="4" t="s">
        <v>61</v>
      </c>
      <c r="D66" s="4" t="s">
        <v>61</v>
      </c>
      <c r="E66" s="4" t="s">
        <v>60</v>
      </c>
      <c r="F66" s="5" t="str">
        <f t="shared" si="1"/>
        <v>MATCH</v>
      </c>
      <c r="G66" s="5" t="str">
        <f t="shared" si="1"/>
        <v>MISMATCH</v>
      </c>
    </row>
    <row r="67" spans="1:7" hidden="1" x14ac:dyDescent="0.25">
      <c r="A67" s="4" t="s">
        <v>62</v>
      </c>
      <c r="B67" s="4" t="s">
        <v>4</v>
      </c>
      <c r="C67" s="4" t="s">
        <v>63</v>
      </c>
      <c r="D67" s="4" t="s">
        <v>63</v>
      </c>
      <c r="E67" s="4" t="s">
        <v>60</v>
      </c>
      <c r="F67" s="5" t="str">
        <f t="shared" si="1"/>
        <v>MATCH</v>
      </c>
      <c r="G67" s="5" t="str">
        <f t="shared" si="1"/>
        <v>MISMATCH</v>
      </c>
    </row>
    <row r="68" spans="1:7" hidden="1" x14ac:dyDescent="0.25">
      <c r="A68" s="4" t="s">
        <v>62</v>
      </c>
      <c r="B68" s="4" t="s">
        <v>5</v>
      </c>
      <c r="C68" s="4" t="s">
        <v>64</v>
      </c>
      <c r="D68" s="4" t="s">
        <v>64</v>
      </c>
      <c r="E68" s="4" t="s">
        <v>60</v>
      </c>
      <c r="F68" s="5" t="str">
        <f t="shared" si="1"/>
        <v>MATCH</v>
      </c>
      <c r="G68" s="5" t="str">
        <f t="shared" si="1"/>
        <v>MISMATCH</v>
      </c>
    </row>
    <row r="69" spans="1:7" hidden="1" x14ac:dyDescent="0.25">
      <c r="A69" s="4" t="s">
        <v>62</v>
      </c>
      <c r="B69" s="4" t="s">
        <v>8</v>
      </c>
      <c r="C69" s="4" t="s">
        <v>65</v>
      </c>
      <c r="D69" s="4" t="s">
        <v>65</v>
      </c>
      <c r="E69" s="4" t="s">
        <v>60</v>
      </c>
      <c r="F69" s="5" t="str">
        <f t="shared" si="1"/>
        <v>MATCH</v>
      </c>
      <c r="G69" s="5" t="str">
        <f t="shared" si="1"/>
        <v>MISMATCH</v>
      </c>
    </row>
    <row r="70" spans="1:7" hidden="1" x14ac:dyDescent="0.25">
      <c r="A70" s="4" t="s">
        <v>62</v>
      </c>
      <c r="B70" s="4" t="s">
        <v>11</v>
      </c>
      <c r="C70" s="4" t="s">
        <v>66</v>
      </c>
      <c r="D70" s="4" t="s">
        <v>66</v>
      </c>
      <c r="E70" s="4" t="s">
        <v>60</v>
      </c>
      <c r="F70" s="5" t="str">
        <f t="shared" si="1"/>
        <v>MATCH</v>
      </c>
      <c r="G70" s="5" t="str">
        <f t="shared" si="1"/>
        <v>MISMATCH</v>
      </c>
    </row>
    <row r="71" spans="1:7" hidden="1" x14ac:dyDescent="0.25">
      <c r="A71" s="4" t="s">
        <v>62</v>
      </c>
      <c r="B71" s="4" t="s">
        <v>12</v>
      </c>
      <c r="C71" s="4" t="s">
        <v>67</v>
      </c>
      <c r="D71" s="4" t="s">
        <v>67</v>
      </c>
      <c r="E71" s="4" t="s">
        <v>60</v>
      </c>
      <c r="F71" s="5" t="str">
        <f t="shared" si="1"/>
        <v>MATCH</v>
      </c>
      <c r="G71" s="5" t="str">
        <f t="shared" si="1"/>
        <v>MISMATCH</v>
      </c>
    </row>
    <row r="72" spans="1:7" x14ac:dyDescent="0.25">
      <c r="A72" s="4" t="s">
        <v>62</v>
      </c>
      <c r="B72" s="6" t="s">
        <v>75</v>
      </c>
      <c r="C72" s="4" t="s">
        <v>76</v>
      </c>
      <c r="D72" s="4" t="s">
        <v>76</v>
      </c>
      <c r="E72" s="4" t="s">
        <v>60</v>
      </c>
      <c r="F72" s="5" t="str">
        <f t="shared" si="1"/>
        <v>MATCH</v>
      </c>
      <c r="G72" s="5" t="str">
        <f t="shared" si="1"/>
        <v>MISMATCH</v>
      </c>
    </row>
    <row r="73" spans="1:7" hidden="1" x14ac:dyDescent="0.25">
      <c r="A73" s="4" t="s">
        <v>62</v>
      </c>
      <c r="B73" s="4" t="s">
        <v>13</v>
      </c>
      <c r="C73" s="4" t="s">
        <v>66</v>
      </c>
      <c r="D73" s="4" t="s">
        <v>66</v>
      </c>
      <c r="E73" s="4" t="s">
        <v>60</v>
      </c>
      <c r="F73" s="5" t="str">
        <f t="shared" si="1"/>
        <v>MATCH</v>
      </c>
      <c r="G73" s="5" t="str">
        <f t="shared" si="1"/>
        <v>MISMATCH</v>
      </c>
    </row>
    <row r="74" spans="1:7" hidden="1" x14ac:dyDescent="0.25">
      <c r="A74" s="4" t="s">
        <v>62</v>
      </c>
      <c r="B74" s="4" t="s">
        <v>14</v>
      </c>
      <c r="C74" s="4" t="s">
        <v>67</v>
      </c>
      <c r="D74" s="4" t="s">
        <v>67</v>
      </c>
      <c r="E74" s="4" t="s">
        <v>60</v>
      </c>
      <c r="F74" s="5" t="str">
        <f t="shared" si="1"/>
        <v>MATCH</v>
      </c>
      <c r="G74" s="5" t="str">
        <f t="shared" si="1"/>
        <v>MISMATCH</v>
      </c>
    </row>
    <row r="75" spans="1:7" hidden="1" x14ac:dyDescent="0.25">
      <c r="A75" s="4" t="s">
        <v>68</v>
      </c>
      <c r="B75" s="4" t="s">
        <v>4</v>
      </c>
      <c r="C75" s="4" t="s">
        <v>69</v>
      </c>
      <c r="D75" s="4" t="s">
        <v>69</v>
      </c>
      <c r="E75" s="4" t="s">
        <v>69</v>
      </c>
      <c r="F75" s="5" t="str">
        <f t="shared" si="1"/>
        <v>MATCH</v>
      </c>
      <c r="G75" s="5" t="str">
        <f t="shared" si="1"/>
        <v>MATCH</v>
      </c>
    </row>
    <row r="76" spans="1:7" hidden="1" x14ac:dyDescent="0.25">
      <c r="A76" s="4" t="s">
        <v>68</v>
      </c>
      <c r="B76" s="4" t="s">
        <v>5</v>
      </c>
      <c r="C76" s="4" t="s">
        <v>70</v>
      </c>
      <c r="D76" s="4" t="s">
        <v>70</v>
      </c>
      <c r="E76" s="4" t="s">
        <v>70</v>
      </c>
      <c r="F76" s="5" t="str">
        <f t="shared" si="1"/>
        <v>MATCH</v>
      </c>
      <c r="G76" s="5" t="str">
        <f t="shared" si="1"/>
        <v>MATCH</v>
      </c>
    </row>
    <row r="77" spans="1:7" hidden="1" x14ac:dyDescent="0.25">
      <c r="A77" s="4" t="s">
        <v>68</v>
      </c>
      <c r="B77" s="4" t="s">
        <v>8</v>
      </c>
      <c r="C77" s="4" t="s">
        <v>71</v>
      </c>
      <c r="D77" s="4" t="s">
        <v>71</v>
      </c>
      <c r="E77" s="4" t="s">
        <v>71</v>
      </c>
      <c r="F77" s="5" t="str">
        <f t="shared" si="1"/>
        <v>MATCH</v>
      </c>
      <c r="G77" s="5" t="str">
        <f t="shared" si="1"/>
        <v>MATCH</v>
      </c>
    </row>
    <row r="78" spans="1:7" hidden="1" x14ac:dyDescent="0.25">
      <c r="A78" s="4" t="s">
        <v>68</v>
      </c>
      <c r="B78" s="4" t="s">
        <v>11</v>
      </c>
      <c r="C78" s="4" t="s">
        <v>72</v>
      </c>
      <c r="D78" s="4" t="s">
        <v>72</v>
      </c>
      <c r="E78" s="4" t="s">
        <v>72</v>
      </c>
      <c r="F78" s="5" t="str">
        <f t="shared" si="1"/>
        <v>MATCH</v>
      </c>
      <c r="G78" s="5" t="str">
        <f t="shared" si="1"/>
        <v>MATCH</v>
      </c>
    </row>
    <row r="79" spans="1:7" hidden="1" x14ac:dyDescent="0.25">
      <c r="A79" s="4" t="s">
        <v>68</v>
      </c>
      <c r="B79" s="4" t="s">
        <v>12</v>
      </c>
      <c r="C79" s="4" t="s">
        <v>73</v>
      </c>
      <c r="D79" s="4" t="s">
        <v>73</v>
      </c>
      <c r="E79" s="4" t="s">
        <v>73</v>
      </c>
      <c r="F79" s="5" t="str">
        <f t="shared" si="1"/>
        <v>MATCH</v>
      </c>
      <c r="G79" s="5" t="str">
        <f t="shared" si="1"/>
        <v>MATCH</v>
      </c>
    </row>
    <row r="80" spans="1:7" x14ac:dyDescent="0.25">
      <c r="A80" s="4" t="s">
        <v>68</v>
      </c>
      <c r="B80" s="6" t="s">
        <v>75</v>
      </c>
      <c r="C80" s="4" t="s">
        <v>76</v>
      </c>
      <c r="D80" s="4" t="s">
        <v>76</v>
      </c>
      <c r="E80" s="4" t="s">
        <v>76</v>
      </c>
      <c r="F80" s="5" t="str">
        <f t="shared" si="1"/>
        <v>MATCH</v>
      </c>
      <c r="G80" s="5" t="str">
        <f t="shared" si="1"/>
        <v>MATCH</v>
      </c>
    </row>
    <row r="81" spans="1:7" hidden="1" x14ac:dyDescent="0.25">
      <c r="A81" s="4" t="s">
        <v>68</v>
      </c>
      <c r="B81" s="4" t="s">
        <v>13</v>
      </c>
      <c r="C81" s="4" t="s">
        <v>72</v>
      </c>
      <c r="D81" s="4" t="s">
        <v>72</v>
      </c>
      <c r="E81" s="4" t="s">
        <v>72</v>
      </c>
      <c r="F81" s="5" t="str">
        <f t="shared" si="1"/>
        <v>MATCH</v>
      </c>
      <c r="G81" s="5" t="str">
        <f t="shared" si="1"/>
        <v>MATCH</v>
      </c>
    </row>
    <row r="82" spans="1:7" hidden="1" x14ac:dyDescent="0.25">
      <c r="A82" s="4" t="s">
        <v>68</v>
      </c>
      <c r="B82" s="4" t="s">
        <v>14</v>
      </c>
      <c r="C82" s="4" t="s">
        <v>73</v>
      </c>
      <c r="D82" s="4" t="s">
        <v>73</v>
      </c>
      <c r="E82" s="4" t="s">
        <v>73</v>
      </c>
      <c r="F82" s="5" t="str">
        <f t="shared" si="1"/>
        <v>MATCH</v>
      </c>
      <c r="G82" s="5" t="str">
        <f t="shared" si="1"/>
        <v>MATCH</v>
      </c>
    </row>
    <row r="83" spans="1:7" hidden="1" x14ac:dyDescent="0.25">
      <c r="A83" s="4" t="s">
        <v>21</v>
      </c>
      <c r="B83" s="4" t="s">
        <v>4</v>
      </c>
      <c r="C83" s="4" t="s">
        <v>34</v>
      </c>
      <c r="D83" s="4" t="s">
        <v>34</v>
      </c>
      <c r="E83" s="4" t="s">
        <v>34</v>
      </c>
      <c r="F83" s="5" t="str">
        <f t="shared" si="1"/>
        <v>MATCH</v>
      </c>
      <c r="G83" s="5" t="str">
        <f t="shared" si="1"/>
        <v>MATCH</v>
      </c>
    </row>
    <row r="84" spans="1:7" hidden="1" x14ac:dyDescent="0.25">
      <c r="A84" s="4" t="s">
        <v>21</v>
      </c>
      <c r="B84" s="4" t="s">
        <v>5</v>
      </c>
      <c r="C84" s="4" t="s">
        <v>35</v>
      </c>
      <c r="D84" s="4" t="s">
        <v>35</v>
      </c>
      <c r="E84" s="4" t="s">
        <v>35</v>
      </c>
      <c r="F84" s="5" t="str">
        <f t="shared" si="1"/>
        <v>MATCH</v>
      </c>
      <c r="G84" s="5" t="str">
        <f t="shared" si="1"/>
        <v>MATCH</v>
      </c>
    </row>
    <row r="85" spans="1:7" hidden="1" x14ac:dyDescent="0.25">
      <c r="A85" s="4" t="s">
        <v>21</v>
      </c>
      <c r="B85" s="4" t="s">
        <v>8</v>
      </c>
      <c r="C85" s="4" t="s">
        <v>36</v>
      </c>
      <c r="D85" s="4" t="s">
        <v>36</v>
      </c>
      <c r="E85" s="4" t="s">
        <v>36</v>
      </c>
      <c r="F85" s="5" t="str">
        <f t="shared" si="1"/>
        <v>MATCH</v>
      </c>
      <c r="G85" s="5" t="str">
        <f t="shared" si="1"/>
        <v>MATCH</v>
      </c>
    </row>
    <row r="86" spans="1:7" hidden="1" x14ac:dyDescent="0.25">
      <c r="A86" s="4" t="s">
        <v>21</v>
      </c>
      <c r="B86" s="4" t="s">
        <v>11</v>
      </c>
      <c r="C86" s="4" t="s">
        <v>37</v>
      </c>
      <c r="D86" s="4" t="s">
        <v>37</v>
      </c>
      <c r="E86" s="4" t="s">
        <v>37</v>
      </c>
      <c r="F86" s="5" t="str">
        <f t="shared" si="1"/>
        <v>MATCH</v>
      </c>
      <c r="G86" s="5" t="str">
        <f t="shared" si="1"/>
        <v>MATCH</v>
      </c>
    </row>
    <row r="87" spans="1:7" hidden="1" x14ac:dyDescent="0.25">
      <c r="A87" s="4" t="s">
        <v>21</v>
      </c>
      <c r="B87" s="4" t="s">
        <v>12</v>
      </c>
      <c r="C87" s="4" t="s">
        <v>38</v>
      </c>
      <c r="D87" s="4" t="s">
        <v>38</v>
      </c>
      <c r="E87" s="4" t="s">
        <v>38</v>
      </c>
      <c r="F87" s="5" t="str">
        <f t="shared" si="1"/>
        <v>MATCH</v>
      </c>
      <c r="G87" s="5" t="str">
        <f t="shared" si="1"/>
        <v>MATCH</v>
      </c>
    </row>
    <row r="88" spans="1:7" x14ac:dyDescent="0.25">
      <c r="A88" s="4" t="s">
        <v>21</v>
      </c>
      <c r="B88" s="6" t="s">
        <v>75</v>
      </c>
      <c r="C88" s="4" t="s">
        <v>76</v>
      </c>
      <c r="D88" s="4" t="s">
        <v>76</v>
      </c>
      <c r="E88" s="4" t="s">
        <v>76</v>
      </c>
      <c r="F88" s="5" t="str">
        <f t="shared" si="1"/>
        <v>MATCH</v>
      </c>
      <c r="G88" s="5" t="str">
        <f t="shared" si="1"/>
        <v>MATCH</v>
      </c>
    </row>
    <row r="89" spans="1:7" hidden="1" x14ac:dyDescent="0.25">
      <c r="A89" s="4" t="s">
        <v>21</v>
      </c>
      <c r="B89" s="4" t="s">
        <v>13</v>
      </c>
      <c r="C89" s="4" t="s">
        <v>37</v>
      </c>
      <c r="D89" s="4" t="s">
        <v>37</v>
      </c>
      <c r="E89" s="4" t="s">
        <v>37</v>
      </c>
      <c r="F89" s="5" t="str">
        <f t="shared" si="1"/>
        <v>MATCH</v>
      </c>
      <c r="G89" s="5" t="str">
        <f t="shared" si="1"/>
        <v>MATCH</v>
      </c>
    </row>
    <row r="90" spans="1:7" hidden="1" x14ac:dyDescent="0.25">
      <c r="A90" s="4" t="s">
        <v>21</v>
      </c>
      <c r="B90" s="4" t="s">
        <v>14</v>
      </c>
      <c r="C90" s="4" t="s">
        <v>38</v>
      </c>
      <c r="D90" s="4" t="s">
        <v>38</v>
      </c>
      <c r="E90" s="4" t="s">
        <v>38</v>
      </c>
      <c r="F90" s="5" t="str">
        <f t="shared" si="1"/>
        <v>MATCH</v>
      </c>
      <c r="G90" s="5" t="str">
        <f t="shared" si="1"/>
        <v>MATCH</v>
      </c>
    </row>
    <row r="91" spans="1:7" hidden="1" x14ac:dyDescent="0.25">
      <c r="A91" s="4" t="s">
        <v>74</v>
      </c>
      <c r="B91" s="4" t="s">
        <v>4</v>
      </c>
      <c r="F91" s="5" t="str">
        <f t="shared" ref="F91:G98" si="2">+IF(C91=D91,"MATCH","MISMATCH")</f>
        <v>MATCH</v>
      </c>
      <c r="G91" s="5" t="str">
        <f t="shared" si="2"/>
        <v>MATCH</v>
      </c>
    </row>
    <row r="92" spans="1:7" hidden="1" x14ac:dyDescent="0.25">
      <c r="A92" s="4" t="s">
        <v>74</v>
      </c>
      <c r="B92" s="4" t="s">
        <v>5</v>
      </c>
      <c r="F92" s="5" t="str">
        <f t="shared" si="2"/>
        <v>MATCH</v>
      </c>
      <c r="G92" s="5" t="str">
        <f t="shared" si="2"/>
        <v>MATCH</v>
      </c>
    </row>
    <row r="93" spans="1:7" hidden="1" x14ac:dyDescent="0.25">
      <c r="A93" s="4" t="s">
        <v>74</v>
      </c>
      <c r="B93" s="4" t="s">
        <v>8</v>
      </c>
      <c r="F93" s="5" t="str">
        <f t="shared" si="2"/>
        <v>MATCH</v>
      </c>
      <c r="G93" s="5" t="str">
        <f t="shared" si="2"/>
        <v>MATCH</v>
      </c>
    </row>
    <row r="94" spans="1:7" hidden="1" x14ac:dyDescent="0.25">
      <c r="A94" s="4" t="s">
        <v>74</v>
      </c>
      <c r="B94" s="4" t="s">
        <v>11</v>
      </c>
      <c r="F94" s="5" t="str">
        <f t="shared" si="2"/>
        <v>MATCH</v>
      </c>
      <c r="G94" s="5" t="str">
        <f t="shared" si="2"/>
        <v>MATCH</v>
      </c>
    </row>
    <row r="95" spans="1:7" hidden="1" x14ac:dyDescent="0.25">
      <c r="A95" s="4" t="s">
        <v>74</v>
      </c>
      <c r="B95" s="4" t="s">
        <v>12</v>
      </c>
      <c r="F95" s="5" t="str">
        <f t="shared" si="2"/>
        <v>MATCH</v>
      </c>
      <c r="G95" s="5" t="str">
        <f t="shared" si="2"/>
        <v>MATCH</v>
      </c>
    </row>
    <row r="96" spans="1:7" x14ac:dyDescent="0.25">
      <c r="A96" s="4" t="s">
        <v>74</v>
      </c>
      <c r="B96" s="6" t="s">
        <v>75</v>
      </c>
      <c r="F96" s="5" t="str">
        <f t="shared" si="2"/>
        <v>MATCH</v>
      </c>
      <c r="G96" s="5" t="str">
        <f t="shared" si="2"/>
        <v>MATCH</v>
      </c>
    </row>
    <row r="97" spans="1:7" hidden="1" x14ac:dyDescent="0.25">
      <c r="A97" s="4" t="s">
        <v>74</v>
      </c>
      <c r="B97" s="4" t="s">
        <v>13</v>
      </c>
      <c r="F97" s="5" t="str">
        <f t="shared" si="2"/>
        <v>MATCH</v>
      </c>
      <c r="G97" s="5" t="str">
        <f t="shared" si="2"/>
        <v>MATCH</v>
      </c>
    </row>
    <row r="98" spans="1:7" hidden="1" x14ac:dyDescent="0.25">
      <c r="A98" s="4" t="s">
        <v>74</v>
      </c>
      <c r="B98" s="4" t="s">
        <v>14</v>
      </c>
      <c r="F98" s="5" t="str">
        <f t="shared" si="2"/>
        <v>MATCH</v>
      </c>
      <c r="G98" s="5" t="str">
        <f t="shared" si="2"/>
        <v>MATCH</v>
      </c>
    </row>
  </sheetData>
  <autoFilter ref="A2:H98" xr:uid="{00000000-0009-0000-0000-000002000000}">
    <filterColumn colId="1">
      <filters>
        <filter val="RV-UE Value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Claim</vt:lpstr>
      <vt:lpstr>Criteria</vt:lpstr>
      <vt:lpstr>GL Coding Chart</vt:lpstr>
      <vt:lpstr>Claim!Acquisition</vt:lpstr>
      <vt:lpstr>CriteriaAcc</vt:lpstr>
      <vt:lpstr>CriteriaAcquisition</vt:lpstr>
      <vt:lpstr>CriteriaHUP</vt:lpstr>
      <vt:lpstr>CriteriaReturn</vt:lpstr>
      <vt:lpstr>Claim!ExternalData_1</vt:lpstr>
      <vt:lpstr>Claim!MyData</vt:lpstr>
      <vt:lpstr>Claim!Print_Titles</vt:lpstr>
      <vt:lpstr>TEST</vt:lpstr>
      <vt:lpstr>TEST2</vt:lpstr>
      <vt:lpstr>TEST3</vt:lpstr>
      <vt:lpstr>TEST4</vt:lpstr>
      <vt:lpstr>TEST5</vt:lpstr>
      <vt:lpstr>TEST6</vt:lpstr>
      <vt:lpstr>TEST7</vt:lpstr>
      <vt:lpstr>TEST8</vt:lpstr>
    </vt:vector>
  </TitlesOfParts>
  <Company>Vilimek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Vilimek</dc:creator>
  <cp:lastModifiedBy>sastagamer855@gmail.com</cp:lastModifiedBy>
  <cp:lastPrinted>2018-07-04T13:29:51Z</cp:lastPrinted>
  <dcterms:created xsi:type="dcterms:W3CDTF">2006-10-20T23:31:39Z</dcterms:created>
  <dcterms:modified xsi:type="dcterms:W3CDTF">2026-07-20T16:59:12Z</dcterms:modified>
</cp:coreProperties>
</file>